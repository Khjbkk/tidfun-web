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กฎตัดสินใจ" sheetId="2" state="visible" r:id="rId2"/>
    <sheet xmlns:r="http://schemas.openxmlformats.org/officeDocument/2006/relationships" name="Affiliate" sheetId="3" state="visible" r:id="rId3"/>
    <sheet xmlns:r="http://schemas.openxmlformats.org/officeDocument/2006/relationships" name="ครีเอทีฟ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3395B"/>
      </patternFill>
    </fill>
    <fill>
      <patternFill patternType="solid">
        <fgColor rgb="00D94F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3" fontId="0" fillId="0" borderId="0" pivotButton="0" quotePrefix="0" xfId="0"/>
    <xf numFmtId="9" fontId="0" fillId="0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 ht="42" customHeight="1">
      <c r="A1" s="1" t="inlineStr">
        <is>
          <t>วันที่</t>
        </is>
      </c>
      <c r="B1" s="1" t="inlineStr">
        <is>
          <t>ค่าแอด Meta</t>
        </is>
      </c>
      <c r="C1" s="1" t="inlineStr">
        <is>
          <t>ค่าแอด TikTok</t>
        </is>
      </c>
      <c r="D1" s="1" t="inlineStr">
        <is>
          <t>แชทใหม่ (Meta)</t>
        </is>
      </c>
      <c r="E1" s="1" t="inlineStr">
        <is>
          <t>แชทจากคอมเมนต์</t>
        </is>
      </c>
      <c r="F1" s="1" t="inlineStr">
        <is>
          <t>แชทจาก TikTok/affiliate</t>
        </is>
      </c>
      <c r="G1" s="1" t="inlineStr">
        <is>
          <t>ยอดขาย Meta</t>
        </is>
      </c>
      <c r="H1" s="1" t="inlineStr">
        <is>
          <t>ยอดขาย retarget</t>
        </is>
      </c>
      <c r="I1" s="1" t="inlineStr">
        <is>
          <t>ยอดขาย organic/คอมเมนต์</t>
        </is>
      </c>
      <c r="J1" s="1" t="inlineStr">
        <is>
          <t>ยอดขาย affiliate</t>
        </is>
      </c>
      <c r="K1" s="1" t="inlineStr">
        <is>
          <t>ยอดขาย ไลฟ์</t>
        </is>
      </c>
      <c r="L1" s="1" t="inlineStr">
        <is>
          <t>รวมชุด</t>
        </is>
      </c>
      <c r="M1" s="1" t="inlineStr">
        <is>
          <t>Chat Cards +49</t>
        </is>
      </c>
      <c r="N1" s="1" t="inlineStr">
        <is>
          <t>รีวิว 1:1 490</t>
        </is>
      </c>
      <c r="O1" s="1" t="inlineStr">
        <is>
          <t>รายได้รวม</t>
        </is>
      </c>
      <c r="P1" s="1" t="inlineStr">
        <is>
          <t>ค่าแอดรวม</t>
        </is>
      </c>
      <c r="Q1" s="1" t="inlineStr">
        <is>
          <t>ค่าคอม affiliate</t>
        </is>
      </c>
      <c r="R1" s="1" t="inlineStr">
        <is>
          <t>กำไร</t>
        </is>
      </c>
      <c r="S1" s="1" t="inlineStr">
        <is>
          <t>CPA แอด</t>
        </is>
      </c>
      <c r="T1" s="1" t="inlineStr">
        <is>
          <t>Chat→ซื้อ %</t>
        </is>
      </c>
      <c r="U1" s="1" t="inlineStr">
        <is>
          <t>Bump %</t>
        </is>
      </c>
      <c r="V1" s="1" t="inlineStr">
        <is>
          <t>สถานะ 18:00</t>
        </is>
      </c>
      <c r="W1" s="1" t="inlineStr">
        <is>
          <t>หมายเหตุ</t>
        </is>
      </c>
    </row>
    <row r="2">
      <c r="A2" s="2" t="n">
        <v>46315</v>
      </c>
      <c r="L2">
        <f>SUM(G2:K2)</f>
        <v/>
      </c>
      <c r="O2" s="3">
        <f>L2*129+M2*49+N2*490</f>
        <v/>
      </c>
      <c r="P2" s="3">
        <f>B2+C2</f>
        <v/>
      </c>
      <c r="Q2" s="3">
        <f>J2*50</f>
        <v/>
      </c>
      <c r="R2" s="3">
        <f>O2-P2-Q2</f>
        <v/>
      </c>
      <c r="S2" s="3">
        <f>IF(G2+H2=0,"",B2/(G2+H2))</f>
        <v/>
      </c>
      <c r="T2" s="4">
        <f>IF(D2+E2+F2=0,"",L2/(D2+E2+F2))</f>
        <v/>
      </c>
      <c r="U2" s="4">
        <f>IF(L2=0,"",M2/L2)</f>
        <v/>
      </c>
      <c r="V2">
        <f>IF(L2="","",IF(L2&gt;=50,"✅ ถึงเป้า",IF(L2&gt;=35,"⚠️ ใกล้เป้า","🚨 ต่ำกว่า 35 → ทำ rescue")))</f>
        <v/>
      </c>
    </row>
    <row r="3">
      <c r="A3" s="2" t="n">
        <v>46316</v>
      </c>
      <c r="L3">
        <f>SUM(G3:K3)</f>
        <v/>
      </c>
      <c r="O3" s="3">
        <f>L3*129+M3*49+N3*490</f>
        <v/>
      </c>
      <c r="P3" s="3">
        <f>B3+C3</f>
        <v/>
      </c>
      <c r="Q3" s="3">
        <f>J3*50</f>
        <v/>
      </c>
      <c r="R3" s="3">
        <f>O3-P3-Q3</f>
        <v/>
      </c>
      <c r="S3" s="3">
        <f>IF(G3+H3=0,"",B3/(G3+H3))</f>
        <v/>
      </c>
      <c r="T3" s="4">
        <f>IF(D3+E3+F3=0,"",L3/(D3+E3+F3))</f>
        <v/>
      </c>
      <c r="U3" s="4">
        <f>IF(L3=0,"",M3/L3)</f>
        <v/>
      </c>
      <c r="V3">
        <f>IF(L3="","",IF(L3&gt;=50,"✅ ถึงเป้า",IF(L3&gt;=35,"⚠️ ใกล้เป้า","🚨 ต่ำกว่า 35 → ทำ rescue")))</f>
        <v/>
      </c>
    </row>
    <row r="4">
      <c r="A4" s="2" t="n">
        <v>46317</v>
      </c>
      <c r="L4">
        <f>SUM(G4:K4)</f>
        <v/>
      </c>
      <c r="O4" s="3">
        <f>L4*129+M4*49+N4*490</f>
        <v/>
      </c>
      <c r="P4" s="3">
        <f>B4+C4</f>
        <v/>
      </c>
      <c r="Q4" s="3">
        <f>J4*50</f>
        <v/>
      </c>
      <c r="R4" s="3">
        <f>O4-P4-Q4</f>
        <v/>
      </c>
      <c r="S4" s="3">
        <f>IF(G4+H4=0,"",B4/(G4+H4))</f>
        <v/>
      </c>
      <c r="T4" s="4">
        <f>IF(D4+E4+F4=0,"",L4/(D4+E4+F4))</f>
        <v/>
      </c>
      <c r="U4" s="4">
        <f>IF(L4=0,"",M4/L4)</f>
        <v/>
      </c>
      <c r="V4">
        <f>IF(L4="","",IF(L4&gt;=50,"✅ ถึงเป้า",IF(L4&gt;=35,"⚠️ ใกล้เป้า","🚨 ต่ำกว่า 35 → ทำ rescue")))</f>
        <v/>
      </c>
    </row>
    <row r="5">
      <c r="A5" s="2" t="n">
        <v>46318</v>
      </c>
      <c r="L5">
        <f>SUM(G5:K5)</f>
        <v/>
      </c>
      <c r="O5" s="3">
        <f>L5*129+M5*49+N5*490</f>
        <v/>
      </c>
      <c r="P5" s="3">
        <f>B5+C5</f>
        <v/>
      </c>
      <c r="Q5" s="3">
        <f>J5*50</f>
        <v/>
      </c>
      <c r="R5" s="3">
        <f>O5-P5-Q5</f>
        <v/>
      </c>
      <c r="S5" s="3">
        <f>IF(G5+H5=0,"",B5/(G5+H5))</f>
        <v/>
      </c>
      <c r="T5" s="4">
        <f>IF(D5+E5+F5=0,"",L5/(D5+E5+F5))</f>
        <v/>
      </c>
      <c r="U5" s="4">
        <f>IF(L5=0,"",M5/L5)</f>
        <v/>
      </c>
      <c r="V5">
        <f>IF(L5="","",IF(L5&gt;=50,"✅ ถึงเป้า",IF(L5&gt;=35,"⚠️ ใกล้เป้า","🚨 ต่ำกว่า 35 → ทำ rescue")))</f>
        <v/>
      </c>
    </row>
    <row r="6">
      <c r="A6" s="2" t="n">
        <v>46319</v>
      </c>
      <c r="L6">
        <f>SUM(G6:K6)</f>
        <v/>
      </c>
      <c r="O6" s="3">
        <f>L6*129+M6*49+N6*490</f>
        <v/>
      </c>
      <c r="P6" s="3">
        <f>B6+C6</f>
        <v/>
      </c>
      <c r="Q6" s="3">
        <f>J6*50</f>
        <v/>
      </c>
      <c r="R6" s="3">
        <f>O6-P6-Q6</f>
        <v/>
      </c>
      <c r="S6" s="3">
        <f>IF(G6+H6=0,"",B6/(G6+H6))</f>
        <v/>
      </c>
      <c r="T6" s="4">
        <f>IF(D6+E6+F6=0,"",L6/(D6+E6+F6))</f>
        <v/>
      </c>
      <c r="U6" s="4">
        <f>IF(L6=0,"",M6/L6)</f>
        <v/>
      </c>
      <c r="V6">
        <f>IF(L6="","",IF(L6&gt;=50,"✅ ถึงเป้า",IF(L6&gt;=35,"⚠️ ใกล้เป้า","🚨 ต่ำกว่า 35 → ทำ rescue")))</f>
        <v/>
      </c>
    </row>
    <row r="7">
      <c r="A7" s="2" t="n">
        <v>46320</v>
      </c>
      <c r="L7">
        <f>SUM(G7:K7)</f>
        <v/>
      </c>
      <c r="O7" s="3">
        <f>L7*129+M7*49+N7*490</f>
        <v/>
      </c>
      <c r="P7" s="3">
        <f>B7+C7</f>
        <v/>
      </c>
      <c r="Q7" s="3">
        <f>J7*50</f>
        <v/>
      </c>
      <c r="R7" s="3">
        <f>O7-P7-Q7</f>
        <v/>
      </c>
      <c r="S7" s="3">
        <f>IF(G7+H7=0,"",B7/(G7+H7))</f>
        <v/>
      </c>
      <c r="T7" s="4">
        <f>IF(D7+E7+F7=0,"",L7/(D7+E7+F7))</f>
        <v/>
      </c>
      <c r="U7" s="4">
        <f>IF(L7=0,"",M7/L7)</f>
        <v/>
      </c>
      <c r="V7">
        <f>IF(L7="","",IF(L7&gt;=50,"✅ ถึงเป้า",IF(L7&gt;=35,"⚠️ ใกล้เป้า","🚨 ต่ำกว่า 35 → ทำ rescue")))</f>
        <v/>
      </c>
    </row>
    <row r="8">
      <c r="A8" s="2" t="n">
        <v>46321</v>
      </c>
      <c r="L8">
        <f>SUM(G8:K8)</f>
        <v/>
      </c>
      <c r="O8" s="3">
        <f>L8*129+M8*49+N8*490</f>
        <v/>
      </c>
      <c r="P8" s="3">
        <f>B8+C8</f>
        <v/>
      </c>
      <c r="Q8" s="3">
        <f>J8*50</f>
        <v/>
      </c>
      <c r="R8" s="3">
        <f>O8-P8-Q8</f>
        <v/>
      </c>
      <c r="S8" s="3">
        <f>IF(G8+H8=0,"",B8/(G8+H8))</f>
        <v/>
      </c>
      <c r="T8" s="4">
        <f>IF(D8+E8+F8=0,"",L8/(D8+E8+F8))</f>
        <v/>
      </c>
      <c r="U8" s="4">
        <f>IF(L8=0,"",M8/L8)</f>
        <v/>
      </c>
      <c r="V8">
        <f>IF(L8="","",IF(L8&gt;=50,"✅ ถึงเป้า",IF(L8&gt;=35,"⚠️ ใกล้เป้า","🚨 ต่ำกว่า 35 → ทำ rescue")))</f>
        <v/>
      </c>
    </row>
    <row r="9">
      <c r="A9" s="2" t="n">
        <v>46322</v>
      </c>
      <c r="L9">
        <f>SUM(G9:K9)</f>
        <v/>
      </c>
      <c r="O9" s="3">
        <f>L9*129+M9*49+N9*490</f>
        <v/>
      </c>
      <c r="P9" s="3">
        <f>B9+C9</f>
        <v/>
      </c>
      <c r="Q9" s="3">
        <f>J9*50</f>
        <v/>
      </c>
      <c r="R9" s="3">
        <f>O9-P9-Q9</f>
        <v/>
      </c>
      <c r="S9" s="3">
        <f>IF(G9+H9=0,"",B9/(G9+H9))</f>
        <v/>
      </c>
      <c r="T9" s="4">
        <f>IF(D9+E9+F9=0,"",L9/(D9+E9+F9))</f>
        <v/>
      </c>
      <c r="U9" s="4">
        <f>IF(L9=0,"",M9/L9)</f>
        <v/>
      </c>
      <c r="V9">
        <f>IF(L9="","",IF(L9&gt;=50,"✅ ถึงเป้า",IF(L9&gt;=35,"⚠️ ใกล้เป้า","🚨 ต่ำกว่า 35 → ทำ rescue")))</f>
        <v/>
      </c>
    </row>
    <row r="10">
      <c r="A10" s="2" t="n">
        <v>46323</v>
      </c>
      <c r="L10">
        <f>SUM(G10:K10)</f>
        <v/>
      </c>
      <c r="O10" s="3">
        <f>L10*129+M10*49+N10*490</f>
        <v/>
      </c>
      <c r="P10" s="3">
        <f>B10+C10</f>
        <v/>
      </c>
      <c r="Q10" s="3">
        <f>J10*50</f>
        <v/>
      </c>
      <c r="R10" s="3">
        <f>O10-P10-Q10</f>
        <v/>
      </c>
      <c r="S10" s="3">
        <f>IF(G10+H10=0,"",B10/(G10+H10))</f>
        <v/>
      </c>
      <c r="T10" s="4">
        <f>IF(D10+E10+F10=0,"",L10/(D10+E10+F10))</f>
        <v/>
      </c>
      <c r="U10" s="4">
        <f>IF(L10=0,"",M10/L10)</f>
        <v/>
      </c>
      <c r="V10">
        <f>IF(L10="","",IF(L10&gt;=50,"✅ ถึงเป้า",IF(L10&gt;=35,"⚠️ ใกล้เป้า","🚨 ต่ำกว่า 35 → ทำ rescue")))</f>
        <v/>
      </c>
    </row>
    <row r="11">
      <c r="A11" s="2" t="n">
        <v>46324</v>
      </c>
      <c r="L11">
        <f>SUM(G11:K11)</f>
        <v/>
      </c>
      <c r="O11" s="3">
        <f>L11*129+M11*49+N11*490</f>
        <v/>
      </c>
      <c r="P11" s="3">
        <f>B11+C11</f>
        <v/>
      </c>
      <c r="Q11" s="3">
        <f>J11*50</f>
        <v/>
      </c>
      <c r="R11" s="3">
        <f>O11-P11-Q11</f>
        <v/>
      </c>
      <c r="S11" s="3">
        <f>IF(G11+H11=0,"",B11/(G11+H11))</f>
        <v/>
      </c>
      <c r="T11" s="4">
        <f>IF(D11+E11+F11=0,"",L11/(D11+E11+F11))</f>
        <v/>
      </c>
      <c r="U11" s="4">
        <f>IF(L11=0,"",M11/L11)</f>
        <v/>
      </c>
      <c r="V11">
        <f>IF(L11="","",IF(L11&gt;=50,"✅ ถึงเป้า",IF(L11&gt;=35,"⚠️ ใกล้เป้า","🚨 ต่ำกว่า 35 → ทำ rescue")))</f>
        <v/>
      </c>
    </row>
    <row r="12">
      <c r="A12" s="2" t="n">
        <v>46325</v>
      </c>
      <c r="L12">
        <f>SUM(G12:K12)</f>
        <v/>
      </c>
      <c r="O12" s="3">
        <f>L12*129+M12*49+N12*490</f>
        <v/>
      </c>
      <c r="P12" s="3">
        <f>B12+C12</f>
        <v/>
      </c>
      <c r="Q12" s="3">
        <f>J12*50</f>
        <v/>
      </c>
      <c r="R12" s="3">
        <f>O12-P12-Q12</f>
        <v/>
      </c>
      <c r="S12" s="3">
        <f>IF(G12+H12=0,"",B12/(G12+H12))</f>
        <v/>
      </c>
      <c r="T12" s="4">
        <f>IF(D12+E12+F12=0,"",L12/(D12+E12+F12))</f>
        <v/>
      </c>
      <c r="U12" s="4">
        <f>IF(L12=0,"",M12/L12)</f>
        <v/>
      </c>
      <c r="V12">
        <f>IF(L12="","",IF(L12&gt;=50,"✅ ถึงเป้า",IF(L12&gt;=35,"⚠️ ใกล้เป้า","🚨 ต่ำกว่า 35 → ทำ rescue")))</f>
        <v/>
      </c>
    </row>
    <row r="13">
      <c r="A13" s="2" t="n">
        <v>46326</v>
      </c>
      <c r="L13">
        <f>SUM(G13:K13)</f>
        <v/>
      </c>
      <c r="O13" s="3">
        <f>L13*129+M13*49+N13*490</f>
        <v/>
      </c>
      <c r="P13" s="3">
        <f>B13+C13</f>
        <v/>
      </c>
      <c r="Q13" s="3">
        <f>J13*50</f>
        <v/>
      </c>
      <c r="R13" s="3">
        <f>O13-P13-Q13</f>
        <v/>
      </c>
      <c r="S13" s="3">
        <f>IF(G13+H13=0,"",B13/(G13+H13))</f>
        <v/>
      </c>
      <c r="T13" s="4">
        <f>IF(D13+E13+F13=0,"",L13/(D13+E13+F13))</f>
        <v/>
      </c>
      <c r="U13" s="4">
        <f>IF(L13=0,"",M13/L13)</f>
        <v/>
      </c>
      <c r="V13">
        <f>IF(L13="","",IF(L13&gt;=50,"✅ ถึงเป้า",IF(L13&gt;=35,"⚠️ ใกล้เป้า","🚨 ต่ำกว่า 35 → ทำ rescue")))</f>
        <v/>
      </c>
    </row>
    <row r="14">
      <c r="A14" s="2" t="n">
        <v>46327</v>
      </c>
      <c r="L14">
        <f>SUM(G14:K14)</f>
        <v/>
      </c>
      <c r="O14" s="3">
        <f>L14*129+M14*49+N14*490</f>
        <v/>
      </c>
      <c r="P14" s="3">
        <f>B14+C14</f>
        <v/>
      </c>
      <c r="Q14" s="3">
        <f>J14*50</f>
        <v/>
      </c>
      <c r="R14" s="3">
        <f>O14-P14-Q14</f>
        <v/>
      </c>
      <c r="S14" s="3">
        <f>IF(G14+H14=0,"",B14/(G14+H14))</f>
        <v/>
      </c>
      <c r="T14" s="4">
        <f>IF(D14+E14+F14=0,"",L14/(D14+E14+F14))</f>
        <v/>
      </c>
      <c r="U14" s="4">
        <f>IF(L14=0,"",M14/L14)</f>
        <v/>
      </c>
      <c r="V14">
        <f>IF(L14="","",IF(L14&gt;=50,"✅ ถึงเป้า",IF(L14&gt;=35,"⚠️ ใกล้เป้า","🚨 ต่ำกว่า 35 → ทำ rescue")))</f>
        <v/>
      </c>
    </row>
    <row r="15">
      <c r="A15" s="2" t="n">
        <v>46328</v>
      </c>
      <c r="L15">
        <f>SUM(G15:K15)</f>
        <v/>
      </c>
      <c r="O15" s="3">
        <f>L15*129+M15*49+N15*490</f>
        <v/>
      </c>
      <c r="P15" s="3">
        <f>B15+C15</f>
        <v/>
      </c>
      <c r="Q15" s="3">
        <f>J15*50</f>
        <v/>
      </c>
      <c r="R15" s="3">
        <f>O15-P15-Q15</f>
        <v/>
      </c>
      <c r="S15" s="3">
        <f>IF(G15+H15=0,"",B15/(G15+H15))</f>
        <v/>
      </c>
      <c r="T15" s="4">
        <f>IF(D15+E15+F15=0,"",L15/(D15+E15+F15))</f>
        <v/>
      </c>
      <c r="U15" s="4">
        <f>IF(L15=0,"",M15/L15)</f>
        <v/>
      </c>
      <c r="V15">
        <f>IF(L15="","",IF(L15&gt;=50,"✅ ถึงเป้า",IF(L15&gt;=35,"⚠️ ใกล้เป้า","🚨 ต่ำกว่า 35 → ทำ rescue")))</f>
        <v/>
      </c>
    </row>
    <row r="16">
      <c r="A16" s="2" t="n">
        <v>46329</v>
      </c>
      <c r="L16">
        <f>SUM(G16:K16)</f>
        <v/>
      </c>
      <c r="O16" s="3">
        <f>L16*129+M16*49+N16*490</f>
        <v/>
      </c>
      <c r="P16" s="3">
        <f>B16+C16</f>
        <v/>
      </c>
      <c r="Q16" s="3">
        <f>J16*50</f>
        <v/>
      </c>
      <c r="R16" s="3">
        <f>O16-P16-Q16</f>
        <v/>
      </c>
      <c r="S16" s="3">
        <f>IF(G16+H16=0,"",B16/(G16+H16))</f>
        <v/>
      </c>
      <c r="T16" s="4">
        <f>IF(D16+E16+F16=0,"",L16/(D16+E16+F16))</f>
        <v/>
      </c>
      <c r="U16" s="4">
        <f>IF(L16=0,"",M16/L16)</f>
        <v/>
      </c>
      <c r="V16">
        <f>IF(L16="","",IF(L16&gt;=50,"✅ ถึงเป้า",IF(L16&gt;=35,"⚠️ ใกล้เป้า","🚨 ต่ำกว่า 35 → ทำ rescue")))</f>
        <v/>
      </c>
    </row>
    <row r="17">
      <c r="A17" s="2" t="n">
        <v>46330</v>
      </c>
      <c r="L17">
        <f>SUM(G17:K17)</f>
        <v/>
      </c>
      <c r="O17" s="3">
        <f>L17*129+M17*49+N17*490</f>
        <v/>
      </c>
      <c r="P17" s="3">
        <f>B17+C17</f>
        <v/>
      </c>
      <c r="Q17" s="3">
        <f>J17*50</f>
        <v/>
      </c>
      <c r="R17" s="3">
        <f>O17-P17-Q17</f>
        <v/>
      </c>
      <c r="S17" s="3">
        <f>IF(G17+H17=0,"",B17/(G17+H17))</f>
        <v/>
      </c>
      <c r="T17" s="4">
        <f>IF(D17+E17+F17=0,"",L17/(D17+E17+F17))</f>
        <v/>
      </c>
      <c r="U17" s="4">
        <f>IF(L17=0,"",M17/L17)</f>
        <v/>
      </c>
      <c r="V17">
        <f>IF(L17="","",IF(L17&gt;=50,"✅ ถึงเป้า",IF(L17&gt;=35,"⚠️ ใกล้เป้า","🚨 ต่ำกว่า 35 → ทำ rescue")))</f>
        <v/>
      </c>
    </row>
    <row r="18">
      <c r="A18" s="2" t="n">
        <v>46331</v>
      </c>
      <c r="L18">
        <f>SUM(G18:K18)</f>
        <v/>
      </c>
      <c r="O18" s="3">
        <f>L18*129+M18*49+N18*490</f>
        <v/>
      </c>
      <c r="P18" s="3">
        <f>B18+C18</f>
        <v/>
      </c>
      <c r="Q18" s="3">
        <f>J18*50</f>
        <v/>
      </c>
      <c r="R18" s="3">
        <f>O18-P18-Q18</f>
        <v/>
      </c>
      <c r="S18" s="3">
        <f>IF(G18+H18=0,"",B18/(G18+H18))</f>
        <v/>
      </c>
      <c r="T18" s="4">
        <f>IF(D18+E18+F18=0,"",L18/(D18+E18+F18))</f>
        <v/>
      </c>
      <c r="U18" s="4">
        <f>IF(L18=0,"",M18/L18)</f>
        <v/>
      </c>
      <c r="V18">
        <f>IF(L18="","",IF(L18&gt;=50,"✅ ถึงเป้า",IF(L18&gt;=35,"⚠️ ใกล้เป้า","🚨 ต่ำกว่า 35 → ทำ rescue")))</f>
        <v/>
      </c>
    </row>
    <row r="19">
      <c r="A19" s="2" t="n">
        <v>46332</v>
      </c>
      <c r="L19">
        <f>SUM(G19:K19)</f>
        <v/>
      </c>
      <c r="O19" s="3">
        <f>L19*129+M19*49+N19*490</f>
        <v/>
      </c>
      <c r="P19" s="3">
        <f>B19+C19</f>
        <v/>
      </c>
      <c r="Q19" s="3">
        <f>J19*50</f>
        <v/>
      </c>
      <c r="R19" s="3">
        <f>O19-P19-Q19</f>
        <v/>
      </c>
      <c r="S19" s="3">
        <f>IF(G19+H19=0,"",B19/(G19+H19))</f>
        <v/>
      </c>
      <c r="T19" s="4">
        <f>IF(D19+E19+F19=0,"",L19/(D19+E19+F19))</f>
        <v/>
      </c>
      <c r="U19" s="4">
        <f>IF(L19=0,"",M19/L19)</f>
        <v/>
      </c>
      <c r="V19">
        <f>IF(L19="","",IF(L19&gt;=50,"✅ ถึงเป้า",IF(L19&gt;=35,"⚠️ ใกล้เป้า","🚨 ต่ำกว่า 35 → ทำ rescue")))</f>
        <v/>
      </c>
    </row>
    <row r="20">
      <c r="A20" s="2" t="n">
        <v>46333</v>
      </c>
      <c r="L20">
        <f>SUM(G20:K20)</f>
        <v/>
      </c>
      <c r="O20" s="3">
        <f>L20*129+M20*49+N20*490</f>
        <v/>
      </c>
      <c r="P20" s="3">
        <f>B20+C20</f>
        <v/>
      </c>
      <c r="Q20" s="3">
        <f>J20*50</f>
        <v/>
      </c>
      <c r="R20" s="3">
        <f>O20-P20-Q20</f>
        <v/>
      </c>
      <c r="S20" s="3">
        <f>IF(G20+H20=0,"",B20/(G20+H20))</f>
        <v/>
      </c>
      <c r="T20" s="4">
        <f>IF(D20+E20+F20=0,"",L20/(D20+E20+F20))</f>
        <v/>
      </c>
      <c r="U20" s="4">
        <f>IF(L20=0,"",M20/L20)</f>
        <v/>
      </c>
      <c r="V20">
        <f>IF(L20="","",IF(L20&gt;=50,"✅ ถึงเป้า",IF(L20&gt;=35,"⚠️ ใกล้เป้า","🚨 ต่ำกว่า 35 → ทำ rescue")))</f>
        <v/>
      </c>
    </row>
    <row r="21">
      <c r="A21" s="2" t="n">
        <v>46334</v>
      </c>
      <c r="L21">
        <f>SUM(G21:K21)</f>
        <v/>
      </c>
      <c r="O21" s="3">
        <f>L21*129+M21*49+N21*490</f>
        <v/>
      </c>
      <c r="P21" s="3">
        <f>B21+C21</f>
        <v/>
      </c>
      <c r="Q21" s="3">
        <f>J21*50</f>
        <v/>
      </c>
      <c r="R21" s="3">
        <f>O21-P21-Q21</f>
        <v/>
      </c>
      <c r="S21" s="3">
        <f>IF(G21+H21=0,"",B21/(G21+H21))</f>
        <v/>
      </c>
      <c r="T21" s="4">
        <f>IF(D21+E21+F21=0,"",L21/(D21+E21+F21))</f>
        <v/>
      </c>
      <c r="U21" s="4">
        <f>IF(L21=0,"",M21/L21)</f>
        <v/>
      </c>
      <c r="V21">
        <f>IF(L21="","",IF(L21&gt;=50,"✅ ถึงเป้า",IF(L21&gt;=35,"⚠️ ใกล้เป้า","🚨 ต่ำกว่า 35 → ทำ rescue")))</f>
        <v/>
      </c>
    </row>
    <row r="22">
      <c r="A22" s="2" t="n">
        <v>46335</v>
      </c>
      <c r="L22">
        <f>SUM(G22:K22)</f>
        <v/>
      </c>
      <c r="O22" s="3">
        <f>L22*129+M22*49+N22*490</f>
        <v/>
      </c>
      <c r="P22" s="3">
        <f>B22+C22</f>
        <v/>
      </c>
      <c r="Q22" s="3">
        <f>J22*50</f>
        <v/>
      </c>
      <c r="R22" s="3">
        <f>O22-P22-Q22</f>
        <v/>
      </c>
      <c r="S22" s="3">
        <f>IF(G22+H22=0,"",B22/(G22+H22))</f>
        <v/>
      </c>
      <c r="T22" s="4">
        <f>IF(D22+E22+F22=0,"",L22/(D22+E22+F22))</f>
        <v/>
      </c>
      <c r="U22" s="4">
        <f>IF(L22=0,"",M22/L22)</f>
        <v/>
      </c>
      <c r="V22">
        <f>IF(L22="","",IF(L22&gt;=50,"✅ ถึงเป้า",IF(L22&gt;=35,"⚠️ ใกล้เป้า","🚨 ต่ำกว่า 35 → ทำ rescue")))</f>
        <v/>
      </c>
    </row>
    <row r="23">
      <c r="A23" s="2" t="n">
        <v>46336</v>
      </c>
      <c r="L23">
        <f>SUM(G23:K23)</f>
        <v/>
      </c>
      <c r="O23" s="3">
        <f>L23*129+M23*49+N23*490</f>
        <v/>
      </c>
      <c r="P23" s="3">
        <f>B23+C23</f>
        <v/>
      </c>
      <c r="Q23" s="3">
        <f>J23*50</f>
        <v/>
      </c>
      <c r="R23" s="3">
        <f>O23-P23-Q23</f>
        <v/>
      </c>
      <c r="S23" s="3">
        <f>IF(G23+H23=0,"",B23/(G23+H23))</f>
        <v/>
      </c>
      <c r="T23" s="4">
        <f>IF(D23+E23+F23=0,"",L23/(D23+E23+F23))</f>
        <v/>
      </c>
      <c r="U23" s="4">
        <f>IF(L23=0,"",M23/L23)</f>
        <v/>
      </c>
      <c r="V23">
        <f>IF(L23="","",IF(L23&gt;=50,"✅ ถึงเป้า",IF(L23&gt;=35,"⚠️ ใกล้เป้า","🚨 ต่ำกว่า 35 → ทำ rescue")))</f>
        <v/>
      </c>
    </row>
    <row r="24">
      <c r="A24" s="2" t="n">
        <v>46337</v>
      </c>
      <c r="L24">
        <f>SUM(G24:K24)</f>
        <v/>
      </c>
      <c r="O24" s="3">
        <f>L24*129+M24*49+N24*490</f>
        <v/>
      </c>
      <c r="P24" s="3">
        <f>B24+C24</f>
        <v/>
      </c>
      <c r="Q24" s="3">
        <f>J24*50</f>
        <v/>
      </c>
      <c r="R24" s="3">
        <f>O24-P24-Q24</f>
        <v/>
      </c>
      <c r="S24" s="3">
        <f>IF(G24+H24=0,"",B24/(G24+H24))</f>
        <v/>
      </c>
      <c r="T24" s="4">
        <f>IF(D24+E24+F24=0,"",L24/(D24+E24+F24))</f>
        <v/>
      </c>
      <c r="U24" s="4">
        <f>IF(L24=0,"",M24/L24)</f>
        <v/>
      </c>
      <c r="V24">
        <f>IF(L24="","",IF(L24&gt;=50,"✅ ถึงเป้า",IF(L24&gt;=35,"⚠️ ใกล้เป้า","🚨 ต่ำกว่า 35 → ทำ rescue")))</f>
        <v/>
      </c>
    </row>
    <row r="25">
      <c r="A25" s="2" t="n">
        <v>46338</v>
      </c>
      <c r="L25">
        <f>SUM(G25:K25)</f>
        <v/>
      </c>
      <c r="O25" s="3">
        <f>L25*129+M25*49+N25*490</f>
        <v/>
      </c>
      <c r="P25" s="3">
        <f>B25+C25</f>
        <v/>
      </c>
      <c r="Q25" s="3">
        <f>J25*50</f>
        <v/>
      </c>
      <c r="R25" s="3">
        <f>O25-P25-Q25</f>
        <v/>
      </c>
      <c r="S25" s="3">
        <f>IF(G25+H25=0,"",B25/(G25+H25))</f>
        <v/>
      </c>
      <c r="T25" s="4">
        <f>IF(D25+E25+F25=0,"",L25/(D25+E25+F25))</f>
        <v/>
      </c>
      <c r="U25" s="4">
        <f>IF(L25=0,"",M25/L25)</f>
        <v/>
      </c>
      <c r="V25">
        <f>IF(L25="","",IF(L25&gt;=50,"✅ ถึงเป้า",IF(L25&gt;=35,"⚠️ ใกล้เป้า","🚨 ต่ำกว่า 35 → ทำ rescue")))</f>
        <v/>
      </c>
    </row>
    <row r="26">
      <c r="A26" s="2" t="n">
        <v>46339</v>
      </c>
      <c r="L26">
        <f>SUM(G26:K26)</f>
        <v/>
      </c>
      <c r="O26" s="3">
        <f>L26*129+M26*49+N26*490</f>
        <v/>
      </c>
      <c r="P26" s="3">
        <f>B26+C26</f>
        <v/>
      </c>
      <c r="Q26" s="3">
        <f>J26*50</f>
        <v/>
      </c>
      <c r="R26" s="3">
        <f>O26-P26-Q26</f>
        <v/>
      </c>
      <c r="S26" s="3">
        <f>IF(G26+H26=0,"",B26/(G26+H26))</f>
        <v/>
      </c>
      <c r="T26" s="4">
        <f>IF(D26+E26+F26=0,"",L26/(D26+E26+F26))</f>
        <v/>
      </c>
      <c r="U26" s="4">
        <f>IF(L26=0,"",M26/L26)</f>
        <v/>
      </c>
      <c r="V26">
        <f>IF(L26="","",IF(L26&gt;=50,"✅ ถึงเป้า",IF(L26&gt;=35,"⚠️ ใกล้เป้า","🚨 ต่ำกว่า 35 → ทำ rescue")))</f>
        <v/>
      </c>
    </row>
    <row r="27">
      <c r="A27" s="2" t="n">
        <v>46340</v>
      </c>
      <c r="L27">
        <f>SUM(G27:K27)</f>
        <v/>
      </c>
      <c r="O27" s="3">
        <f>L27*129+M27*49+N27*490</f>
        <v/>
      </c>
      <c r="P27" s="3">
        <f>B27+C27</f>
        <v/>
      </c>
      <c r="Q27" s="3">
        <f>J27*50</f>
        <v/>
      </c>
      <c r="R27" s="3">
        <f>O27-P27-Q27</f>
        <v/>
      </c>
      <c r="S27" s="3">
        <f>IF(G27+H27=0,"",B27/(G27+H27))</f>
        <v/>
      </c>
      <c r="T27" s="4">
        <f>IF(D27+E27+F27=0,"",L27/(D27+E27+F27))</f>
        <v/>
      </c>
      <c r="U27" s="4">
        <f>IF(L27=0,"",M27/L27)</f>
        <v/>
      </c>
      <c r="V27">
        <f>IF(L27="","",IF(L27&gt;=50,"✅ ถึงเป้า",IF(L27&gt;=35,"⚠️ ใกล้เป้า","🚨 ต่ำกว่า 35 → ทำ rescue")))</f>
        <v/>
      </c>
    </row>
    <row r="28">
      <c r="A28" s="2" t="n">
        <v>46341</v>
      </c>
      <c r="L28">
        <f>SUM(G28:K28)</f>
        <v/>
      </c>
      <c r="O28" s="3">
        <f>L28*129+M28*49+N28*490</f>
        <v/>
      </c>
      <c r="P28" s="3">
        <f>B28+C28</f>
        <v/>
      </c>
      <c r="Q28" s="3">
        <f>J28*50</f>
        <v/>
      </c>
      <c r="R28" s="3">
        <f>O28-P28-Q28</f>
        <v/>
      </c>
      <c r="S28" s="3">
        <f>IF(G28+H28=0,"",B28/(G28+H28))</f>
        <v/>
      </c>
      <c r="T28" s="4">
        <f>IF(D28+E28+F28=0,"",L28/(D28+E28+F28))</f>
        <v/>
      </c>
      <c r="U28" s="4">
        <f>IF(L28=0,"",M28/L28)</f>
        <v/>
      </c>
      <c r="V28">
        <f>IF(L28="","",IF(L28&gt;=50,"✅ ถึงเป้า",IF(L28&gt;=35,"⚠️ ใกล้เป้า","🚨 ต่ำกว่า 35 → ทำ rescue")))</f>
        <v/>
      </c>
    </row>
    <row r="29">
      <c r="A29" s="2" t="n">
        <v>46342</v>
      </c>
      <c r="L29">
        <f>SUM(G29:K29)</f>
        <v/>
      </c>
      <c r="O29" s="3">
        <f>L29*129+M29*49+N29*490</f>
        <v/>
      </c>
      <c r="P29" s="3">
        <f>B29+C29</f>
        <v/>
      </c>
      <c r="Q29" s="3">
        <f>J29*50</f>
        <v/>
      </c>
      <c r="R29" s="3">
        <f>O29-P29-Q29</f>
        <v/>
      </c>
      <c r="S29" s="3">
        <f>IF(G29+H29=0,"",B29/(G29+H29))</f>
        <v/>
      </c>
      <c r="T29" s="4">
        <f>IF(D29+E29+F29=0,"",L29/(D29+E29+F29))</f>
        <v/>
      </c>
      <c r="U29" s="4">
        <f>IF(L29=0,"",M29/L29)</f>
        <v/>
      </c>
      <c r="V29">
        <f>IF(L29="","",IF(L29&gt;=50,"✅ ถึงเป้า",IF(L29&gt;=35,"⚠️ ใกล้เป้า","🚨 ต่ำกว่า 35 → ทำ rescue")))</f>
        <v/>
      </c>
    </row>
    <row r="30">
      <c r="A30" s="2" t="n">
        <v>46343</v>
      </c>
      <c r="L30">
        <f>SUM(G30:K30)</f>
        <v/>
      </c>
      <c r="O30" s="3">
        <f>L30*129+M30*49+N30*490</f>
        <v/>
      </c>
      <c r="P30" s="3">
        <f>B30+C30</f>
        <v/>
      </c>
      <c r="Q30" s="3">
        <f>J30*50</f>
        <v/>
      </c>
      <c r="R30" s="3">
        <f>O30-P30-Q30</f>
        <v/>
      </c>
      <c r="S30" s="3">
        <f>IF(G30+H30=0,"",B30/(G30+H30))</f>
        <v/>
      </c>
      <c r="T30" s="4">
        <f>IF(D30+E30+F30=0,"",L30/(D30+E30+F30))</f>
        <v/>
      </c>
      <c r="U30" s="4">
        <f>IF(L30=0,"",M30/L30)</f>
        <v/>
      </c>
      <c r="V30">
        <f>IF(L30="","",IF(L30&gt;=50,"✅ ถึงเป้า",IF(L30&gt;=35,"⚠️ ใกล้เป้า","🚨 ต่ำกว่า 35 → ทำ rescue")))</f>
        <v/>
      </c>
    </row>
    <row r="31">
      <c r="A31" s="2" t="n">
        <v>46344</v>
      </c>
      <c r="L31">
        <f>SUM(G31:K31)</f>
        <v/>
      </c>
      <c r="O31" s="3">
        <f>L31*129+M31*49+N31*490</f>
        <v/>
      </c>
      <c r="P31" s="3">
        <f>B31+C31</f>
        <v/>
      </c>
      <c r="Q31" s="3">
        <f>J31*50</f>
        <v/>
      </c>
      <c r="R31" s="3">
        <f>O31-P31-Q31</f>
        <v/>
      </c>
      <c r="S31" s="3">
        <f>IF(G31+H31=0,"",B31/(G31+H31))</f>
        <v/>
      </c>
      <c r="T31" s="4">
        <f>IF(D31+E31+F31=0,"",L31/(D31+E31+F31))</f>
        <v/>
      </c>
      <c r="U31" s="4">
        <f>IF(L31=0,"",M31/L31)</f>
        <v/>
      </c>
      <c r="V31">
        <f>IF(L31="","",IF(L31&gt;=50,"✅ ถึงเป้า",IF(L31&gt;=35,"⚠️ ใกล้เป้า","🚨 ต่ำกว่า 35 → ทำ rescue")))</f>
        <v/>
      </c>
    </row>
    <row r="32">
      <c r="A32" s="2" t="n">
        <v>46345</v>
      </c>
      <c r="L32">
        <f>SUM(G32:K32)</f>
        <v/>
      </c>
      <c r="O32" s="3">
        <f>L32*129+M32*49+N32*490</f>
        <v/>
      </c>
      <c r="P32" s="3">
        <f>B32+C32</f>
        <v/>
      </c>
      <c r="Q32" s="3">
        <f>J32*50</f>
        <v/>
      </c>
      <c r="R32" s="3">
        <f>O32-P32-Q32</f>
        <v/>
      </c>
      <c r="S32" s="3">
        <f>IF(G32+H32=0,"",B32/(G32+H32))</f>
        <v/>
      </c>
      <c r="T32" s="4">
        <f>IF(D32+E32+F32=0,"",L32/(D32+E32+F32))</f>
        <v/>
      </c>
      <c r="U32" s="4">
        <f>IF(L32=0,"",M32/L32)</f>
        <v/>
      </c>
      <c r="V32">
        <f>IF(L32="","",IF(L32&gt;=50,"✅ ถึงเป้า",IF(L32&gt;=35,"⚠️ ใกล้เป้า","🚨 ต่ำกว่า 35 → ทำ rescue")))</f>
        <v/>
      </c>
    </row>
    <row r="33">
      <c r="A33" s="2" t="n">
        <v>46346</v>
      </c>
      <c r="L33">
        <f>SUM(G33:K33)</f>
        <v/>
      </c>
      <c r="O33" s="3">
        <f>L33*129+M33*49+N33*490</f>
        <v/>
      </c>
      <c r="P33" s="3">
        <f>B33+C33</f>
        <v/>
      </c>
      <c r="Q33" s="3">
        <f>J33*50</f>
        <v/>
      </c>
      <c r="R33" s="3">
        <f>O33-P33-Q33</f>
        <v/>
      </c>
      <c r="S33" s="3">
        <f>IF(G33+H33=0,"",B33/(G33+H33))</f>
        <v/>
      </c>
      <c r="T33" s="4">
        <f>IF(D33+E33+F33=0,"",L33/(D33+E33+F33))</f>
        <v/>
      </c>
      <c r="U33" s="4">
        <f>IF(L33=0,"",M33/L33)</f>
        <v/>
      </c>
      <c r="V33">
        <f>IF(L33="","",IF(L33&gt;=50,"✅ ถึงเป้า",IF(L33&gt;=35,"⚠️ ใกล้เป้า","🚨 ต่ำกว่า 35 → ทำ rescue")))</f>
        <v/>
      </c>
    </row>
    <row r="34">
      <c r="A34" s="2" t="n">
        <v>46347</v>
      </c>
      <c r="L34">
        <f>SUM(G34:K34)</f>
        <v/>
      </c>
      <c r="O34" s="3">
        <f>L34*129+M34*49+N34*490</f>
        <v/>
      </c>
      <c r="P34" s="3">
        <f>B34+C34</f>
        <v/>
      </c>
      <c r="Q34" s="3">
        <f>J34*50</f>
        <v/>
      </c>
      <c r="R34" s="3">
        <f>O34-P34-Q34</f>
        <v/>
      </c>
      <c r="S34" s="3">
        <f>IF(G34+H34=0,"",B34/(G34+H34))</f>
        <v/>
      </c>
      <c r="T34" s="4">
        <f>IF(D34+E34+F34=0,"",L34/(D34+E34+F34))</f>
        <v/>
      </c>
      <c r="U34" s="4">
        <f>IF(L34=0,"",M34/L34)</f>
        <v/>
      </c>
      <c r="V34">
        <f>IF(L34="","",IF(L34&gt;=50,"✅ ถึงเป้า",IF(L34&gt;=35,"⚠️ ใกล้เป้า","🚨 ต่ำกว่า 35 → ทำ rescue")))</f>
        <v/>
      </c>
    </row>
    <row r="35">
      <c r="A35" s="2" t="n">
        <v>46348</v>
      </c>
      <c r="L35">
        <f>SUM(G35:K35)</f>
        <v/>
      </c>
      <c r="O35" s="3">
        <f>L35*129+M35*49+N35*490</f>
        <v/>
      </c>
      <c r="P35" s="3">
        <f>B35+C35</f>
        <v/>
      </c>
      <c r="Q35" s="3">
        <f>J35*50</f>
        <v/>
      </c>
      <c r="R35" s="3">
        <f>O35-P35-Q35</f>
        <v/>
      </c>
      <c r="S35" s="3">
        <f>IF(G35+H35=0,"",B35/(G35+H35))</f>
        <v/>
      </c>
      <c r="T35" s="4">
        <f>IF(D35+E35+F35=0,"",L35/(D35+E35+F35))</f>
        <v/>
      </c>
      <c r="U35" s="4">
        <f>IF(L35=0,"",M35/L35)</f>
        <v/>
      </c>
      <c r="V35">
        <f>IF(L35="","",IF(L35&gt;=50,"✅ ถึงเป้า",IF(L35&gt;=35,"⚠️ ใกล้เป้า","🚨 ต่ำกว่า 35 → ทำ rescue")))</f>
        <v/>
      </c>
    </row>
    <row r="36">
      <c r="A36" s="2" t="n">
        <v>46349</v>
      </c>
      <c r="L36">
        <f>SUM(G36:K36)</f>
        <v/>
      </c>
      <c r="O36" s="3">
        <f>L36*129+M36*49+N36*490</f>
        <v/>
      </c>
      <c r="P36" s="3">
        <f>B36+C36</f>
        <v/>
      </c>
      <c r="Q36" s="3">
        <f>J36*50</f>
        <v/>
      </c>
      <c r="R36" s="3">
        <f>O36-P36-Q36</f>
        <v/>
      </c>
      <c r="S36" s="3">
        <f>IF(G36+H36=0,"",B36/(G36+H36))</f>
        <v/>
      </c>
      <c r="T36" s="4">
        <f>IF(D36+E36+F36=0,"",L36/(D36+E36+F36))</f>
        <v/>
      </c>
      <c r="U36" s="4">
        <f>IF(L36=0,"",M36/L36)</f>
        <v/>
      </c>
      <c r="V36">
        <f>IF(L36="","",IF(L36&gt;=50,"✅ ถึงเป้า",IF(L36&gt;=35,"⚠️ ใกล้เป้า","🚨 ต่ำกว่า 35 → ทำ rescue")))</f>
        <v/>
      </c>
    </row>
    <row r="37">
      <c r="A37" s="2" t="n">
        <v>46350</v>
      </c>
      <c r="L37">
        <f>SUM(G37:K37)</f>
        <v/>
      </c>
      <c r="O37" s="3">
        <f>L37*129+M37*49+N37*490</f>
        <v/>
      </c>
      <c r="P37" s="3">
        <f>B37+C37</f>
        <v/>
      </c>
      <c r="Q37" s="3">
        <f>J37*50</f>
        <v/>
      </c>
      <c r="R37" s="3">
        <f>O37-P37-Q37</f>
        <v/>
      </c>
      <c r="S37" s="3">
        <f>IF(G37+H37=0,"",B37/(G37+H37))</f>
        <v/>
      </c>
      <c r="T37" s="4">
        <f>IF(D37+E37+F37=0,"",L37/(D37+E37+F37))</f>
        <v/>
      </c>
      <c r="U37" s="4">
        <f>IF(L37=0,"",M37/L37)</f>
        <v/>
      </c>
      <c r="V37">
        <f>IF(L37="","",IF(L37&gt;=50,"✅ ถึงเป้า",IF(L37&gt;=35,"⚠️ ใกล้เป้า","🚨 ต่ำกว่า 35 → ทำ rescue")))</f>
        <v/>
      </c>
    </row>
    <row r="38">
      <c r="A38" s="2" t="n">
        <v>46351</v>
      </c>
      <c r="L38">
        <f>SUM(G38:K38)</f>
        <v/>
      </c>
      <c r="O38" s="3">
        <f>L38*129+M38*49+N38*490</f>
        <v/>
      </c>
      <c r="P38" s="3">
        <f>B38+C38</f>
        <v/>
      </c>
      <c r="Q38" s="3">
        <f>J38*50</f>
        <v/>
      </c>
      <c r="R38" s="3">
        <f>O38-P38-Q38</f>
        <v/>
      </c>
      <c r="S38" s="3">
        <f>IF(G38+H38=0,"",B38/(G38+H38))</f>
        <v/>
      </c>
      <c r="T38" s="4">
        <f>IF(D38+E38+F38=0,"",L38/(D38+E38+F38))</f>
        <v/>
      </c>
      <c r="U38" s="4">
        <f>IF(L38=0,"",M38/L38)</f>
        <v/>
      </c>
      <c r="V38">
        <f>IF(L38="","",IF(L38&gt;=50,"✅ ถึงเป้า",IF(L38&gt;=35,"⚠️ ใกล้เป้า","🚨 ต่ำกว่า 35 → ทำ rescue")))</f>
        <v/>
      </c>
    </row>
    <row r="39">
      <c r="A39" s="2" t="n">
        <v>46352</v>
      </c>
      <c r="L39">
        <f>SUM(G39:K39)</f>
        <v/>
      </c>
      <c r="O39" s="3">
        <f>L39*129+M39*49+N39*490</f>
        <v/>
      </c>
      <c r="P39" s="3">
        <f>B39+C39</f>
        <v/>
      </c>
      <c r="Q39" s="3">
        <f>J39*50</f>
        <v/>
      </c>
      <c r="R39" s="3">
        <f>O39-P39-Q39</f>
        <v/>
      </c>
      <c r="S39" s="3">
        <f>IF(G39+H39=0,"",B39/(G39+H39))</f>
        <v/>
      </c>
      <c r="T39" s="4">
        <f>IF(D39+E39+F39=0,"",L39/(D39+E39+F39))</f>
        <v/>
      </c>
      <c r="U39" s="4">
        <f>IF(L39=0,"",M39/L39)</f>
        <v/>
      </c>
      <c r="V39">
        <f>IF(L39="","",IF(L39&gt;=50,"✅ ถึงเป้า",IF(L39&gt;=35,"⚠️ ใกล้เป้า","🚨 ต่ำกว่า 35 → ทำ rescue")))</f>
        <v/>
      </c>
    </row>
    <row r="40">
      <c r="A40" s="2" t="n">
        <v>46353</v>
      </c>
      <c r="L40">
        <f>SUM(G40:K40)</f>
        <v/>
      </c>
      <c r="O40" s="3">
        <f>L40*129+M40*49+N40*490</f>
        <v/>
      </c>
      <c r="P40" s="3">
        <f>B40+C40</f>
        <v/>
      </c>
      <c r="Q40" s="3">
        <f>J40*50</f>
        <v/>
      </c>
      <c r="R40" s="3">
        <f>O40-P40-Q40</f>
        <v/>
      </c>
      <c r="S40" s="3">
        <f>IF(G40+H40=0,"",B40/(G40+H40))</f>
        <v/>
      </c>
      <c r="T40" s="4">
        <f>IF(D40+E40+F40=0,"",L40/(D40+E40+F40))</f>
        <v/>
      </c>
      <c r="U40" s="4">
        <f>IF(L40=0,"",M40/L40)</f>
        <v/>
      </c>
      <c r="V40">
        <f>IF(L40="","",IF(L40&gt;=50,"✅ ถึงเป้า",IF(L40&gt;=35,"⚠️ ใกล้เป้า","🚨 ต่ำกว่า 35 → ทำ rescue")))</f>
        <v/>
      </c>
    </row>
    <row r="41">
      <c r="A41" s="2" t="n">
        <v>46354</v>
      </c>
      <c r="L41">
        <f>SUM(G41:K41)</f>
        <v/>
      </c>
      <c r="O41" s="3">
        <f>L41*129+M41*49+N41*490</f>
        <v/>
      </c>
      <c r="P41" s="3">
        <f>B41+C41</f>
        <v/>
      </c>
      <c r="Q41" s="3">
        <f>J41*50</f>
        <v/>
      </c>
      <c r="R41" s="3">
        <f>O41-P41-Q41</f>
        <v/>
      </c>
      <c r="S41" s="3">
        <f>IF(G41+H41=0,"",B41/(G41+H41))</f>
        <v/>
      </c>
      <c r="T41" s="4">
        <f>IF(D41+E41+F41=0,"",L41/(D41+E41+F41))</f>
        <v/>
      </c>
      <c r="U41" s="4">
        <f>IF(L41=0,"",M41/L41)</f>
        <v/>
      </c>
      <c r="V41">
        <f>IF(L41="","",IF(L41&gt;=50,"✅ ถึงเป้า",IF(L41&gt;=35,"⚠️ ใกล้เป้า","🚨 ต่ำกว่า 35 → ทำ rescue")))</f>
        <v/>
      </c>
    </row>
    <row r="42">
      <c r="A42" s="2" t="n">
        <v>46355</v>
      </c>
      <c r="L42">
        <f>SUM(G42:K42)</f>
        <v/>
      </c>
      <c r="O42" s="3">
        <f>L42*129+M42*49+N42*490</f>
        <v/>
      </c>
      <c r="P42" s="3">
        <f>B42+C42</f>
        <v/>
      </c>
      <c r="Q42" s="3">
        <f>J42*50</f>
        <v/>
      </c>
      <c r="R42" s="3">
        <f>O42-P42-Q42</f>
        <v/>
      </c>
      <c r="S42" s="3">
        <f>IF(G42+H42=0,"",B42/(G42+H42))</f>
        <v/>
      </c>
      <c r="T42" s="4">
        <f>IF(D42+E42+F42=0,"",L42/(D42+E42+F42))</f>
        <v/>
      </c>
      <c r="U42" s="4">
        <f>IF(L42=0,"",M42/L42)</f>
        <v/>
      </c>
      <c r="V42">
        <f>IF(L42="","",IF(L42&gt;=50,"✅ ถึงเป้า",IF(L42&gt;=35,"⚠️ ใกล้เป้า","🚨 ต่ำกว่า 35 → ทำ rescue")))</f>
        <v/>
      </c>
    </row>
    <row r="43">
      <c r="A43" s="2" t="n">
        <v>46356</v>
      </c>
      <c r="L43">
        <f>SUM(G43:K43)</f>
        <v/>
      </c>
      <c r="O43" s="3">
        <f>L43*129+M43*49+N43*490</f>
        <v/>
      </c>
      <c r="P43" s="3">
        <f>B43+C43</f>
        <v/>
      </c>
      <c r="Q43" s="3">
        <f>J43*50</f>
        <v/>
      </c>
      <c r="R43" s="3">
        <f>O43-P43-Q43</f>
        <v/>
      </c>
      <c r="S43" s="3">
        <f>IF(G43+H43=0,"",B43/(G43+H43))</f>
        <v/>
      </c>
      <c r="T43" s="4">
        <f>IF(D43+E43+F43=0,"",L43/(D43+E43+F43))</f>
        <v/>
      </c>
      <c r="U43" s="4">
        <f>IF(L43=0,"",M43/L43)</f>
        <v/>
      </c>
      <c r="V43">
        <f>IF(L43="","",IF(L43&gt;=50,"✅ ถึงเป้า",IF(L43&gt;=35,"⚠️ ใกล้เป้า","🚨 ต่ำกว่า 35 → ทำ rescue")))</f>
        <v/>
      </c>
    </row>
    <row r="44">
      <c r="A44" s="2" t="n">
        <v>46357</v>
      </c>
      <c r="L44">
        <f>SUM(G44:K44)</f>
        <v/>
      </c>
      <c r="O44" s="3">
        <f>L44*129+M44*49+N44*490</f>
        <v/>
      </c>
      <c r="P44" s="3">
        <f>B44+C44</f>
        <v/>
      </c>
      <c r="Q44" s="3">
        <f>J44*50</f>
        <v/>
      </c>
      <c r="R44" s="3">
        <f>O44-P44-Q44</f>
        <v/>
      </c>
      <c r="S44" s="3">
        <f>IF(G44+H44=0,"",B44/(G44+H44))</f>
        <v/>
      </c>
      <c r="T44" s="4">
        <f>IF(D44+E44+F44=0,"",L44/(D44+E44+F44))</f>
        <v/>
      </c>
      <c r="U44" s="4">
        <f>IF(L44=0,"",M44/L44)</f>
        <v/>
      </c>
      <c r="V44">
        <f>IF(L44="","",IF(L44&gt;=50,"✅ ถึงเป้า",IF(L44&gt;=35,"⚠️ ใกล้เป้า","🚨 ต่ำกว่า 35 → ทำ rescue")))</f>
        <v/>
      </c>
    </row>
    <row r="45">
      <c r="A45" s="2" t="n">
        <v>46358</v>
      </c>
      <c r="L45">
        <f>SUM(G45:K45)</f>
        <v/>
      </c>
      <c r="O45" s="3">
        <f>L45*129+M45*49+N45*490</f>
        <v/>
      </c>
      <c r="P45" s="3">
        <f>B45+C45</f>
        <v/>
      </c>
      <c r="Q45" s="3">
        <f>J45*50</f>
        <v/>
      </c>
      <c r="R45" s="3">
        <f>O45-P45-Q45</f>
        <v/>
      </c>
      <c r="S45" s="3">
        <f>IF(G45+H45=0,"",B45/(G45+H45))</f>
        <v/>
      </c>
      <c r="T45" s="4">
        <f>IF(D45+E45+F45=0,"",L45/(D45+E45+F45))</f>
        <v/>
      </c>
      <c r="U45" s="4">
        <f>IF(L45=0,"",M45/L45)</f>
        <v/>
      </c>
      <c r="V45">
        <f>IF(L45="","",IF(L45&gt;=50,"✅ ถึงเป้า",IF(L45&gt;=35,"⚠️ ใกล้เป้า","🚨 ต่ำกว่า 35 → ทำ rescue")))</f>
        <v/>
      </c>
    </row>
    <row r="46">
      <c r="A46" s="2" t="n">
        <v>46359</v>
      </c>
      <c r="L46">
        <f>SUM(G46:K46)</f>
        <v/>
      </c>
      <c r="O46" s="3">
        <f>L46*129+M46*49+N46*490</f>
        <v/>
      </c>
      <c r="P46" s="3">
        <f>B46+C46</f>
        <v/>
      </c>
      <c r="Q46" s="3">
        <f>J46*50</f>
        <v/>
      </c>
      <c r="R46" s="3">
        <f>O46-P46-Q46</f>
        <v/>
      </c>
      <c r="S46" s="3">
        <f>IF(G46+H46=0,"",B46/(G46+H46))</f>
        <v/>
      </c>
      <c r="T46" s="4">
        <f>IF(D46+E46+F46=0,"",L46/(D46+E46+F46))</f>
        <v/>
      </c>
      <c r="U46" s="4">
        <f>IF(L46=0,"",M46/L46)</f>
        <v/>
      </c>
      <c r="V46">
        <f>IF(L46="","",IF(L46&gt;=50,"✅ ถึงเป้า",IF(L46&gt;=35,"⚠️ ใกล้เป้า","🚨 ต่ำกว่า 35 → ทำ rescue")))</f>
        <v/>
      </c>
    </row>
    <row r="47">
      <c r="A47" s="2" t="n">
        <v>46360</v>
      </c>
      <c r="L47">
        <f>SUM(G47:K47)</f>
        <v/>
      </c>
      <c r="O47" s="3">
        <f>L47*129+M47*49+N47*490</f>
        <v/>
      </c>
      <c r="P47" s="3">
        <f>B47+C47</f>
        <v/>
      </c>
      <c r="Q47" s="3">
        <f>J47*50</f>
        <v/>
      </c>
      <c r="R47" s="3">
        <f>O47-P47-Q47</f>
        <v/>
      </c>
      <c r="S47" s="3">
        <f>IF(G47+H47=0,"",B47/(G47+H47))</f>
        <v/>
      </c>
      <c r="T47" s="4">
        <f>IF(D47+E47+F47=0,"",L47/(D47+E47+F47))</f>
        <v/>
      </c>
      <c r="U47" s="4">
        <f>IF(L47=0,"",M47/L47)</f>
        <v/>
      </c>
      <c r="V47">
        <f>IF(L47="","",IF(L47&gt;=50,"✅ ถึงเป้า",IF(L47&gt;=35,"⚠️ ใกล้เป้า","🚨 ต่ำกว่า 35 → ทำ rescue")))</f>
        <v/>
      </c>
    </row>
    <row r="48">
      <c r="A48" s="2" t="n">
        <v>46361</v>
      </c>
      <c r="L48">
        <f>SUM(G48:K48)</f>
        <v/>
      </c>
      <c r="O48" s="3">
        <f>L48*129+M48*49+N48*490</f>
        <v/>
      </c>
      <c r="P48" s="3">
        <f>B48+C48</f>
        <v/>
      </c>
      <c r="Q48" s="3">
        <f>J48*50</f>
        <v/>
      </c>
      <c r="R48" s="3">
        <f>O48-P48-Q48</f>
        <v/>
      </c>
      <c r="S48" s="3">
        <f>IF(G48+H48=0,"",B48/(G48+H48))</f>
        <v/>
      </c>
      <c r="T48" s="4">
        <f>IF(D48+E48+F48=0,"",L48/(D48+E48+F48))</f>
        <v/>
      </c>
      <c r="U48" s="4">
        <f>IF(L48=0,"",M48/L48)</f>
        <v/>
      </c>
      <c r="V48">
        <f>IF(L48="","",IF(L48&gt;=50,"✅ ถึงเป้า",IF(L48&gt;=35,"⚠️ ใกล้เป้า","🚨 ต่ำกว่า 35 → ทำ rescue")))</f>
        <v/>
      </c>
    </row>
    <row r="49">
      <c r="A49" s="2" t="n">
        <v>46362</v>
      </c>
      <c r="L49">
        <f>SUM(G49:K49)</f>
        <v/>
      </c>
      <c r="O49" s="3">
        <f>L49*129+M49*49+N49*490</f>
        <v/>
      </c>
      <c r="P49" s="3">
        <f>B49+C49</f>
        <v/>
      </c>
      <c r="Q49" s="3">
        <f>J49*50</f>
        <v/>
      </c>
      <c r="R49" s="3">
        <f>O49-P49-Q49</f>
        <v/>
      </c>
      <c r="S49" s="3">
        <f>IF(G49+H49=0,"",B49/(G49+H49))</f>
        <v/>
      </c>
      <c r="T49" s="4">
        <f>IF(D49+E49+F49=0,"",L49/(D49+E49+F49))</f>
        <v/>
      </c>
      <c r="U49" s="4">
        <f>IF(L49=0,"",M49/L49)</f>
        <v/>
      </c>
      <c r="V49">
        <f>IF(L49="","",IF(L49&gt;=50,"✅ ถึงเป้า",IF(L49&gt;=35,"⚠️ ใกล้เป้า","🚨 ต่ำกว่า 35 → ทำ rescue")))</f>
        <v/>
      </c>
    </row>
    <row r="50">
      <c r="A50" s="2" t="n">
        <v>46363</v>
      </c>
      <c r="L50">
        <f>SUM(G50:K50)</f>
        <v/>
      </c>
      <c r="O50" s="3">
        <f>L50*129+M50*49+N50*490</f>
        <v/>
      </c>
      <c r="P50" s="3">
        <f>B50+C50</f>
        <v/>
      </c>
      <c r="Q50" s="3">
        <f>J50*50</f>
        <v/>
      </c>
      <c r="R50" s="3">
        <f>O50-P50-Q50</f>
        <v/>
      </c>
      <c r="S50" s="3">
        <f>IF(G50+H50=0,"",B50/(G50+H50))</f>
        <v/>
      </c>
      <c r="T50" s="4">
        <f>IF(D50+E50+F50=0,"",L50/(D50+E50+F50))</f>
        <v/>
      </c>
      <c r="U50" s="4">
        <f>IF(L50=0,"",M50/L50)</f>
        <v/>
      </c>
      <c r="V50">
        <f>IF(L50="","",IF(L50&gt;=50,"✅ ถึงเป้า",IF(L50&gt;=35,"⚠️ ใกล้เป้า","🚨 ต่ำกว่า 35 → ทำ rescue")))</f>
        <v/>
      </c>
    </row>
    <row r="51">
      <c r="A51" s="2" t="n">
        <v>46364</v>
      </c>
      <c r="L51">
        <f>SUM(G51:K51)</f>
        <v/>
      </c>
      <c r="O51" s="3">
        <f>L51*129+M51*49+N51*490</f>
        <v/>
      </c>
      <c r="P51" s="3">
        <f>B51+C51</f>
        <v/>
      </c>
      <c r="Q51" s="3">
        <f>J51*50</f>
        <v/>
      </c>
      <c r="R51" s="3">
        <f>O51-P51-Q51</f>
        <v/>
      </c>
      <c r="S51" s="3">
        <f>IF(G51+H51=0,"",B51/(G51+H51))</f>
        <v/>
      </c>
      <c r="T51" s="4">
        <f>IF(D51+E51+F51=0,"",L51/(D51+E51+F51))</f>
        <v/>
      </c>
      <c r="U51" s="4">
        <f>IF(L51=0,"",M51/L51)</f>
        <v/>
      </c>
      <c r="V51">
        <f>IF(L51="","",IF(L51&gt;=50,"✅ ถึงเป้า",IF(L51&gt;=35,"⚠️ ใกล้เป้า","🚨 ต่ำกว่า 35 → ทำ rescue")))</f>
        <v/>
      </c>
    </row>
    <row r="52">
      <c r="A52" s="2" t="n">
        <v>46365</v>
      </c>
      <c r="L52">
        <f>SUM(G52:K52)</f>
        <v/>
      </c>
      <c r="O52" s="3">
        <f>L52*129+M52*49+N52*490</f>
        <v/>
      </c>
      <c r="P52" s="3">
        <f>B52+C52</f>
        <v/>
      </c>
      <c r="Q52" s="3">
        <f>J52*50</f>
        <v/>
      </c>
      <c r="R52" s="3">
        <f>O52-P52-Q52</f>
        <v/>
      </c>
      <c r="S52" s="3">
        <f>IF(G52+H52=0,"",B52/(G52+H52))</f>
        <v/>
      </c>
      <c r="T52" s="4">
        <f>IF(D52+E52+F52=0,"",L52/(D52+E52+F52))</f>
        <v/>
      </c>
      <c r="U52" s="4">
        <f>IF(L52=0,"",M52/L52)</f>
        <v/>
      </c>
      <c r="V52">
        <f>IF(L52="","",IF(L52&gt;=50,"✅ ถึงเป้า",IF(L52&gt;=35,"⚠️ ใกล้เป้า","🚨 ต่ำกว่า 35 → ทำ rescue")))</f>
        <v/>
      </c>
    </row>
    <row r="53">
      <c r="A53" s="2" t="n">
        <v>46366</v>
      </c>
      <c r="L53">
        <f>SUM(G53:K53)</f>
        <v/>
      </c>
      <c r="O53" s="3">
        <f>L53*129+M53*49+N53*490</f>
        <v/>
      </c>
      <c r="P53" s="3">
        <f>B53+C53</f>
        <v/>
      </c>
      <c r="Q53" s="3">
        <f>J53*50</f>
        <v/>
      </c>
      <c r="R53" s="3">
        <f>O53-P53-Q53</f>
        <v/>
      </c>
      <c r="S53" s="3">
        <f>IF(G53+H53=0,"",B53/(G53+H53))</f>
        <v/>
      </c>
      <c r="T53" s="4">
        <f>IF(D53+E53+F53=0,"",L53/(D53+E53+F53))</f>
        <v/>
      </c>
      <c r="U53" s="4">
        <f>IF(L53=0,"",M53/L53)</f>
        <v/>
      </c>
      <c r="V53">
        <f>IF(L53="","",IF(L53&gt;=50,"✅ ถึงเป้า",IF(L53&gt;=35,"⚠️ ใกล้เป้า","🚨 ต่ำกว่า 35 → ทำ rescue")))</f>
        <v/>
      </c>
    </row>
    <row r="54">
      <c r="A54" s="2" t="n">
        <v>46367</v>
      </c>
      <c r="L54">
        <f>SUM(G54:K54)</f>
        <v/>
      </c>
      <c r="O54" s="3">
        <f>L54*129+M54*49+N54*490</f>
        <v/>
      </c>
      <c r="P54" s="3">
        <f>B54+C54</f>
        <v/>
      </c>
      <c r="Q54" s="3">
        <f>J54*50</f>
        <v/>
      </c>
      <c r="R54" s="3">
        <f>O54-P54-Q54</f>
        <v/>
      </c>
      <c r="S54" s="3">
        <f>IF(G54+H54=0,"",B54/(G54+H54))</f>
        <v/>
      </c>
      <c r="T54" s="4">
        <f>IF(D54+E54+F54=0,"",L54/(D54+E54+F54))</f>
        <v/>
      </c>
      <c r="U54" s="4">
        <f>IF(L54=0,"",M54/L54)</f>
        <v/>
      </c>
      <c r="V54">
        <f>IF(L54="","",IF(L54&gt;=50,"✅ ถึงเป้า",IF(L54&gt;=35,"⚠️ ใกล้เป้า","🚨 ต่ำกว่า 35 → ทำ rescue")))</f>
        <v/>
      </c>
    </row>
    <row r="55">
      <c r="A55" s="2" t="n">
        <v>46368</v>
      </c>
      <c r="L55">
        <f>SUM(G55:K55)</f>
        <v/>
      </c>
      <c r="O55" s="3">
        <f>L55*129+M55*49+N55*490</f>
        <v/>
      </c>
      <c r="P55" s="3">
        <f>B55+C55</f>
        <v/>
      </c>
      <c r="Q55" s="3">
        <f>J55*50</f>
        <v/>
      </c>
      <c r="R55" s="3">
        <f>O55-P55-Q55</f>
        <v/>
      </c>
      <c r="S55" s="3">
        <f>IF(G55+H55=0,"",B55/(G55+H55))</f>
        <v/>
      </c>
      <c r="T55" s="4">
        <f>IF(D55+E55+F55=0,"",L55/(D55+E55+F55))</f>
        <v/>
      </c>
      <c r="U55" s="4">
        <f>IF(L55=0,"",M55/L55)</f>
        <v/>
      </c>
      <c r="V55">
        <f>IF(L55="","",IF(L55&gt;=50,"✅ ถึงเป้า",IF(L55&gt;=35,"⚠️ ใกล้เป้า","🚨 ต่ำกว่า 35 → ทำ rescue")))</f>
        <v/>
      </c>
    </row>
    <row r="56">
      <c r="A56" s="2" t="n">
        <v>46369</v>
      </c>
      <c r="L56">
        <f>SUM(G56:K56)</f>
        <v/>
      </c>
      <c r="O56" s="3">
        <f>L56*129+M56*49+N56*490</f>
        <v/>
      </c>
      <c r="P56" s="3">
        <f>B56+C56</f>
        <v/>
      </c>
      <c r="Q56" s="3">
        <f>J56*50</f>
        <v/>
      </c>
      <c r="R56" s="3">
        <f>O56-P56-Q56</f>
        <v/>
      </c>
      <c r="S56" s="3">
        <f>IF(G56+H56=0,"",B56/(G56+H56))</f>
        <v/>
      </c>
      <c r="T56" s="4">
        <f>IF(D56+E56+F56=0,"",L56/(D56+E56+F56))</f>
        <v/>
      </c>
      <c r="U56" s="4">
        <f>IF(L56=0,"",M56/L56)</f>
        <v/>
      </c>
      <c r="V56">
        <f>IF(L56="","",IF(L56&gt;=50,"✅ ถึงเป้า",IF(L56&gt;=35,"⚠️ ใกล้เป้า","🚨 ต่ำกว่า 35 → ทำ rescue")))</f>
        <v/>
      </c>
    </row>
    <row r="57">
      <c r="A57" s="2" t="n">
        <v>46370</v>
      </c>
      <c r="L57">
        <f>SUM(G57:K57)</f>
        <v/>
      </c>
      <c r="O57" s="3">
        <f>L57*129+M57*49+N57*490</f>
        <v/>
      </c>
      <c r="P57" s="3">
        <f>B57+C57</f>
        <v/>
      </c>
      <c r="Q57" s="3">
        <f>J57*50</f>
        <v/>
      </c>
      <c r="R57" s="3">
        <f>O57-P57-Q57</f>
        <v/>
      </c>
      <c r="S57" s="3">
        <f>IF(G57+H57=0,"",B57/(G57+H57))</f>
        <v/>
      </c>
      <c r="T57" s="4">
        <f>IF(D57+E57+F57=0,"",L57/(D57+E57+F57))</f>
        <v/>
      </c>
      <c r="U57" s="4">
        <f>IF(L57=0,"",M57/L57)</f>
        <v/>
      </c>
      <c r="V57">
        <f>IF(L57="","",IF(L57&gt;=50,"✅ ถึงเป้า",IF(L57&gt;=35,"⚠️ ใกล้เป้า","🚨 ต่ำกว่า 35 → ทำ rescue")))</f>
        <v/>
      </c>
    </row>
    <row r="58">
      <c r="A58" s="2" t="n">
        <v>46371</v>
      </c>
      <c r="L58">
        <f>SUM(G58:K58)</f>
        <v/>
      </c>
      <c r="O58" s="3">
        <f>L58*129+M58*49+N58*490</f>
        <v/>
      </c>
      <c r="P58" s="3">
        <f>B58+C58</f>
        <v/>
      </c>
      <c r="Q58" s="3">
        <f>J58*50</f>
        <v/>
      </c>
      <c r="R58" s="3">
        <f>O58-P58-Q58</f>
        <v/>
      </c>
      <c r="S58" s="3">
        <f>IF(G58+H58=0,"",B58/(G58+H58))</f>
        <v/>
      </c>
      <c r="T58" s="4">
        <f>IF(D58+E58+F58=0,"",L58/(D58+E58+F58))</f>
        <v/>
      </c>
      <c r="U58" s="4">
        <f>IF(L58=0,"",M58/L58)</f>
        <v/>
      </c>
      <c r="V58">
        <f>IF(L58="","",IF(L58&gt;=50,"✅ ถึงเป้า",IF(L58&gt;=35,"⚠️ ใกล้เป้า","🚨 ต่ำกว่า 35 → ทำ rescue")))</f>
        <v/>
      </c>
    </row>
    <row r="59">
      <c r="A59" s="2" t="n">
        <v>46372</v>
      </c>
      <c r="L59">
        <f>SUM(G59:K59)</f>
        <v/>
      </c>
      <c r="O59" s="3">
        <f>L59*129+M59*49+N59*490</f>
        <v/>
      </c>
      <c r="P59" s="3">
        <f>B59+C59</f>
        <v/>
      </c>
      <c r="Q59" s="3">
        <f>J59*50</f>
        <v/>
      </c>
      <c r="R59" s="3">
        <f>O59-P59-Q59</f>
        <v/>
      </c>
      <c r="S59" s="3">
        <f>IF(G59+H59=0,"",B59/(G59+H59))</f>
        <v/>
      </c>
      <c r="T59" s="4">
        <f>IF(D59+E59+F59=0,"",L59/(D59+E59+F59))</f>
        <v/>
      </c>
      <c r="U59" s="4">
        <f>IF(L59=0,"",M59/L59)</f>
        <v/>
      </c>
      <c r="V59">
        <f>IF(L59="","",IF(L59&gt;=50,"✅ ถึงเป้า",IF(L59&gt;=35,"⚠️ ใกล้เป้า","🚨 ต่ำกว่า 35 → ทำ rescue")))</f>
        <v/>
      </c>
    </row>
    <row r="60">
      <c r="A60" s="2" t="n">
        <v>46373</v>
      </c>
      <c r="L60">
        <f>SUM(G60:K60)</f>
        <v/>
      </c>
      <c r="O60" s="3">
        <f>L60*129+M60*49+N60*490</f>
        <v/>
      </c>
      <c r="P60" s="3">
        <f>B60+C60</f>
        <v/>
      </c>
      <c r="Q60" s="3">
        <f>J60*50</f>
        <v/>
      </c>
      <c r="R60" s="3">
        <f>O60-P60-Q60</f>
        <v/>
      </c>
      <c r="S60" s="3">
        <f>IF(G60+H60=0,"",B60/(G60+H60))</f>
        <v/>
      </c>
      <c r="T60" s="4">
        <f>IF(D60+E60+F60=0,"",L60/(D60+E60+F60))</f>
        <v/>
      </c>
      <c r="U60" s="4">
        <f>IF(L60=0,"",M60/L60)</f>
        <v/>
      </c>
      <c r="V60">
        <f>IF(L60="","",IF(L60&gt;=50,"✅ ถึงเป้า",IF(L60&gt;=35,"⚠️ ใกล้เป้า","🚨 ต่ำกว่า 35 → ทำ rescue")))</f>
        <v/>
      </c>
    </row>
    <row r="61">
      <c r="A61" s="2" t="n">
        <v>46374</v>
      </c>
      <c r="L61">
        <f>SUM(G61:K61)</f>
        <v/>
      </c>
      <c r="O61" s="3">
        <f>L61*129+M61*49+N61*490</f>
        <v/>
      </c>
      <c r="P61" s="3">
        <f>B61+C61</f>
        <v/>
      </c>
      <c r="Q61" s="3">
        <f>J61*50</f>
        <v/>
      </c>
      <c r="R61" s="3">
        <f>O61-P61-Q61</f>
        <v/>
      </c>
      <c r="S61" s="3">
        <f>IF(G61+H61=0,"",B61/(G61+H61))</f>
        <v/>
      </c>
      <c r="T61" s="4">
        <f>IF(D61+E61+F61=0,"",L61/(D61+E61+F61))</f>
        <v/>
      </c>
      <c r="U61" s="4">
        <f>IF(L61=0,"",M61/L61)</f>
        <v/>
      </c>
      <c r="V61">
        <f>IF(L61="","",IF(L61&gt;=50,"✅ ถึงเป้า",IF(L61&gt;=35,"⚠️ ใกล้เป้า","🚨 ต่ำกว่า 35 → ทำ rescue")))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90" customWidth="1" min="3" max="3"/>
  </cols>
  <sheetData>
    <row r="1">
      <c r="A1" s="5" t="inlineStr">
        <is>
          <t>ตัวชี้วัด</t>
        </is>
      </c>
      <c r="B1" s="5" t="inlineStr">
        <is>
          <t>เป้า</t>
        </is>
      </c>
      <c r="C1" s="5" t="inlineStr">
        <is>
          <t>ถ้าไม่ถึง ทำอะไร</t>
        </is>
      </c>
    </row>
    <row r="2">
      <c r="A2" s="6" t="inlineStr">
        <is>
          <t>รวมชุด/วัน</t>
        </is>
      </c>
      <c r="B2" s="6" t="inlineStr">
        <is>
          <t>≥ 50</t>
        </is>
      </c>
      <c r="C2" s="6" t="inlineStr">
        <is>
          <t>ตอน 18:00 ถ้า &lt; 35: 1) ยิง retarget ad โปร 99฿ 2) เพิ่มงบ ad set ที่ CPA&lt;90 +30% 3) ไลฟ์ด่วน 30 นาที 20:00 4) ขอ affiliate 3 คนลงสตอรี่</t>
        </is>
      </c>
    </row>
    <row r="3">
      <c r="A3" s="6" t="inlineStr">
        <is>
          <t>CPA แอด (ค่าแอด÷ยอดซื้อจากแอด)</t>
        </is>
      </c>
      <c r="B3" s="6" t="inlineStr">
        <is>
          <t>≤ 90฿</t>
        </is>
      </c>
      <c r="C3" s="6" t="inlineStr">
        <is>
          <t>90–120: คงงบ สลับครีเอทีฟแย่สุดออก / &gt;120 สองวันติด: หยุด ad set เปลี่ยนชุดครีเอทีฟ</t>
        </is>
      </c>
    </row>
    <row r="4">
      <c r="A4" s="6" t="inlineStr">
        <is>
          <t>ค่าแอดต่อ 1 แชท</t>
        </is>
      </c>
      <c r="B4" s="6" t="inlineStr">
        <is>
          <t>≤ 30฿</t>
        </is>
      </c>
      <c r="C4" s="6" t="inlineStr">
        <is>
          <t>ครีเอทีฟไม่ดึงดูด → เปลี่ยน hook (ใช้สคริปต์คลิปที่วิวสูงสุดมาทำแอด)</t>
        </is>
      </c>
    </row>
    <row r="5">
      <c r="A5" s="6" t="inlineStr">
        <is>
          <t>แชท→ซื้อ %</t>
        </is>
      </c>
      <c r="B5" s="6" t="inlineStr">
        <is>
          <t>≥ 25%</t>
        </is>
      </c>
      <c r="C5" s="6" t="inlineStr">
        <is>
          <t>ปัญหาอยู่ที่บอท/ข้อความ ไม่ใช่แอด: เช็กว่าบอทตอบใน 5 นาที, QR ส่งถูก, ตามคนไม่ส่งสลิปครบ 3 ครั้ง</t>
        </is>
      </c>
    </row>
    <row r="6">
      <c r="A6" s="6" t="inlineStr">
        <is>
          <t>Bump %</t>
        </is>
      </c>
      <c r="B6" s="6" t="inlineStr">
        <is>
          <t>≥ 25%</t>
        </is>
      </c>
      <c r="C6" s="6" t="inlineStr">
        <is>
          <t>ปรับข้อความเสนอ Chat Cards ให้เห็นตัวอย่างการ์ด 1 ใบก่อนถาม</t>
        </is>
      </c>
    </row>
    <row r="7">
      <c r="A7" s="6" t="inlineStr">
        <is>
          <t>Frequency แอด (7 วัน)</t>
        </is>
      </c>
      <c r="B7" s="6" t="inlineStr">
        <is>
          <t>≤ 3</t>
        </is>
      </c>
      <c r="C7" s="6" t="inlineStr">
        <is>
          <t>ครีเอทีฟล้า → สลับชุด A↔B</t>
        </is>
      </c>
    </row>
    <row r="8">
      <c r="A8" s="6" t="inlineStr">
        <is>
          <t>ยอดวิว organic/วัน</t>
        </is>
      </c>
      <c r="B8" s="6" t="inlineStr">
        <is>
          <t>≥ 100K</t>
        </is>
      </c>
      <c r="C8" s="6" t="inlineStr">
        <is>
          <t>โพสต์เพิ่มเป็น 3 คลิป/วัน รีโพสต์ตัวที่วิว &gt; 3× ค่าเฉลี่ย</t>
        </is>
      </c>
    </row>
    <row r="9">
      <c r="A9" s="6" t="inlineStr">
        <is>
          <t>Affiliate ที่ active</t>
        </is>
      </c>
      <c r="B9" s="6" t="inlineStr">
        <is>
          <t>≥ 10</t>
        </is>
      </c>
      <c r="C9" s="6" t="inlineStr">
        <is>
          <t>ทักเพิ่มสัปดาห์ละ 10 คน จาก affiliate_kit.md</t>
        </is>
      </c>
    </row>
    <row r="10">
      <c r="A10" s="6" t="inlineStr">
        <is>
          <t>ตอบแชทภายใน</t>
        </is>
      </c>
      <c r="B10" s="6" t="inlineStr">
        <is>
          <t>5 นาที</t>
        </is>
      </c>
      <c r="C10" s="6" t="inlineStr">
        <is>
          <t>เพิ่มเวรแอดมิน / ขยายบอทให้ตอบ FAQ ได้มากขึ้น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7" t="inlineStr">
        <is>
          <t>ชื่อ/แฮนเดิล</t>
        </is>
      </c>
      <c r="B1" s="7" t="inlineStr">
        <is>
          <t>แพลตฟอร์ม</t>
        </is>
      </c>
      <c r="C1" s="7" t="inlineStr">
        <is>
          <t>ผู้ติดตาม</t>
        </is>
      </c>
      <c r="D1" s="7" t="inlineStr">
        <is>
          <t>โค้ด (ref)</t>
        </is>
      </c>
      <c r="E1" s="7" t="inlineStr">
        <is>
          <t>ลิงก์ m.me</t>
        </is>
      </c>
      <c r="F1" s="7" t="inlineStr">
        <is>
          <t>วันที่ทัก</t>
        </is>
      </c>
      <c r="G1" s="7" t="inlineStr">
        <is>
          <t>สถานะ</t>
        </is>
      </c>
      <c r="H1" s="7" t="inlineStr">
        <is>
          <t>ยอดขายสัปดาห์นี้</t>
        </is>
      </c>
      <c r="I1" s="7" t="inlineStr">
        <is>
          <t>ค่าคอมค้างจ่าย (50฿/ชุด)</t>
        </is>
      </c>
      <c r="J1" s="7" t="inlineStr">
        <is>
          <t>วันที่จ่าย</t>
        </is>
      </c>
    </row>
    <row r="2">
      <c r="E2">
        <f>IF(D2="","","https://m.me/PAGE?ref="&amp;D2)</f>
        <v/>
      </c>
      <c r="I2">
        <f>H2*50</f>
        <v/>
      </c>
    </row>
    <row r="3">
      <c r="E3">
        <f>IF(D3="","","https://m.me/PAGE?ref="&amp;D3)</f>
        <v/>
      </c>
      <c r="I3">
        <f>H3*50</f>
        <v/>
      </c>
    </row>
    <row r="4">
      <c r="E4">
        <f>IF(D4="","","https://m.me/PAGE?ref="&amp;D4)</f>
        <v/>
      </c>
      <c r="I4">
        <f>H4*50</f>
        <v/>
      </c>
    </row>
    <row r="5">
      <c r="E5">
        <f>IF(D5="","","https://m.me/PAGE?ref="&amp;D5)</f>
        <v/>
      </c>
      <c r="I5">
        <f>H5*50</f>
        <v/>
      </c>
    </row>
    <row r="6">
      <c r="E6">
        <f>IF(D6="","","https://m.me/PAGE?ref="&amp;D6)</f>
        <v/>
      </c>
      <c r="I6">
        <f>H6*50</f>
        <v/>
      </c>
    </row>
    <row r="7">
      <c r="E7">
        <f>IF(D7="","","https://m.me/PAGE?ref="&amp;D7)</f>
        <v/>
      </c>
      <c r="I7">
        <f>H7*50</f>
        <v/>
      </c>
    </row>
    <row r="8">
      <c r="E8">
        <f>IF(D8="","","https://m.me/PAGE?ref="&amp;D8)</f>
        <v/>
      </c>
      <c r="I8">
        <f>H8*50</f>
        <v/>
      </c>
    </row>
    <row r="9">
      <c r="E9">
        <f>IF(D9="","","https://m.me/PAGE?ref="&amp;D9)</f>
        <v/>
      </c>
      <c r="I9">
        <f>H9*50</f>
        <v/>
      </c>
    </row>
    <row r="10">
      <c r="E10">
        <f>IF(D10="","","https://m.me/PAGE?ref="&amp;D10)</f>
        <v/>
      </c>
      <c r="I10">
        <f>H10*50</f>
        <v/>
      </c>
    </row>
    <row r="11">
      <c r="E11">
        <f>IF(D11="","","https://m.me/PAGE?ref="&amp;D11)</f>
        <v/>
      </c>
      <c r="I11">
        <f>H11*50</f>
        <v/>
      </c>
    </row>
    <row r="12">
      <c r="E12">
        <f>IF(D12="","","https://m.me/PAGE?ref="&amp;D12)</f>
        <v/>
      </c>
      <c r="I12">
        <f>H12*50</f>
        <v/>
      </c>
    </row>
    <row r="13">
      <c r="E13">
        <f>IF(D13="","","https://m.me/PAGE?ref="&amp;D13)</f>
        <v/>
      </c>
      <c r="I13">
        <f>H13*50</f>
        <v/>
      </c>
    </row>
    <row r="14">
      <c r="E14">
        <f>IF(D14="","","https://m.me/PAGE?ref="&amp;D14)</f>
        <v/>
      </c>
      <c r="I14">
        <f>H14*50</f>
        <v/>
      </c>
    </row>
    <row r="15">
      <c r="E15">
        <f>IF(D15="","","https://m.me/PAGE?ref="&amp;D15)</f>
        <v/>
      </c>
      <c r="I15">
        <f>H15*50</f>
        <v/>
      </c>
    </row>
    <row r="16">
      <c r="E16">
        <f>IF(D16="","","https://m.me/PAGE?ref="&amp;D16)</f>
        <v/>
      </c>
      <c r="I16">
        <f>H16*50</f>
        <v/>
      </c>
    </row>
    <row r="17">
      <c r="E17">
        <f>IF(D17="","","https://m.me/PAGE?ref="&amp;D17)</f>
        <v/>
      </c>
      <c r="I17">
        <f>H17*50</f>
        <v/>
      </c>
    </row>
    <row r="18">
      <c r="E18">
        <f>IF(D18="","","https://m.me/PAGE?ref="&amp;D18)</f>
        <v/>
      </c>
      <c r="I18">
        <f>H18*50</f>
        <v/>
      </c>
    </row>
    <row r="19">
      <c r="E19">
        <f>IF(D19="","","https://m.me/PAGE?ref="&amp;D19)</f>
        <v/>
      </c>
      <c r="I19">
        <f>H19*50</f>
        <v/>
      </c>
    </row>
    <row r="20">
      <c r="E20">
        <f>IF(D20="","","https://m.me/PAGE?ref="&amp;D20)</f>
        <v/>
      </c>
      <c r="I20">
        <f>H20*50</f>
        <v/>
      </c>
    </row>
    <row r="21">
      <c r="E21">
        <f>IF(D21="","","https://m.me/PAGE?ref="&amp;D21)</f>
        <v/>
      </c>
      <c r="I21">
        <f>H21*50</f>
        <v/>
      </c>
    </row>
    <row r="22">
      <c r="E22">
        <f>IF(D22="","","https://m.me/PAGE?ref="&amp;D22)</f>
        <v/>
      </c>
      <c r="I22">
        <f>H22*50</f>
        <v/>
      </c>
    </row>
    <row r="23">
      <c r="E23">
        <f>IF(D23="","","https://m.me/PAGE?ref="&amp;D23)</f>
        <v/>
      </c>
      <c r="I23">
        <f>H23*50</f>
        <v/>
      </c>
    </row>
    <row r="24">
      <c r="E24">
        <f>IF(D24="","","https://m.me/PAGE?ref="&amp;D24)</f>
        <v/>
      </c>
      <c r="I24">
        <f>H24*50</f>
        <v/>
      </c>
    </row>
    <row r="25">
      <c r="E25">
        <f>IF(D25="","","https://m.me/PAGE?ref="&amp;D25)</f>
        <v/>
      </c>
      <c r="I25">
        <f>H25*50</f>
        <v/>
      </c>
    </row>
    <row r="26">
      <c r="E26">
        <f>IF(D26="","","https://m.me/PAGE?ref="&amp;D26)</f>
        <v/>
      </c>
      <c r="I26">
        <f>H26*50</f>
        <v/>
      </c>
    </row>
    <row r="27">
      <c r="E27">
        <f>IF(D27="","","https://m.me/PAGE?ref="&amp;D27)</f>
        <v/>
      </c>
      <c r="I27">
        <f>H27*50</f>
        <v/>
      </c>
    </row>
    <row r="28">
      <c r="E28">
        <f>IF(D28="","","https://m.me/PAGE?ref="&amp;D28)</f>
        <v/>
      </c>
      <c r="I28">
        <f>H28*50</f>
        <v/>
      </c>
    </row>
    <row r="29">
      <c r="E29">
        <f>IF(D29="","","https://m.me/PAGE?ref="&amp;D29)</f>
        <v/>
      </c>
      <c r="I29">
        <f>H29*50</f>
        <v/>
      </c>
    </row>
    <row r="30">
      <c r="E30">
        <f>IF(D30="","","https://m.me/PAGE?ref="&amp;D30)</f>
        <v/>
      </c>
      <c r="I30">
        <f>H30*50</f>
        <v/>
      </c>
    </row>
    <row r="31">
      <c r="E31">
        <f>IF(D31="","","https://m.me/PAGE?ref="&amp;D31)</f>
        <v/>
      </c>
      <c r="I31">
        <f>H31*50</f>
        <v/>
      </c>
    </row>
    <row r="32">
      <c r="E32">
        <f>IF(D32="","","https://m.me/PAGE?ref="&amp;D32)</f>
        <v/>
      </c>
      <c r="I32">
        <f>H32*50</f>
        <v/>
      </c>
    </row>
    <row r="33">
      <c r="E33">
        <f>IF(D33="","","https://m.me/PAGE?ref="&amp;D33)</f>
        <v/>
      </c>
      <c r="I33">
        <f>H33*50</f>
        <v/>
      </c>
    </row>
    <row r="34">
      <c r="E34">
        <f>IF(D34="","","https://m.me/PAGE?ref="&amp;D34)</f>
        <v/>
      </c>
      <c r="I34">
        <f>H34*50</f>
        <v/>
      </c>
    </row>
    <row r="35">
      <c r="E35">
        <f>IF(D35="","","https://m.me/PAGE?ref="&amp;D35)</f>
        <v/>
      </c>
      <c r="I35">
        <f>H35*50</f>
        <v/>
      </c>
    </row>
    <row r="36">
      <c r="E36">
        <f>IF(D36="","","https://m.me/PAGE?ref="&amp;D36)</f>
        <v/>
      </c>
      <c r="I36">
        <f>H36*50</f>
        <v/>
      </c>
    </row>
    <row r="37">
      <c r="E37">
        <f>IF(D37="","","https://m.me/PAGE?ref="&amp;D37)</f>
        <v/>
      </c>
      <c r="I37">
        <f>H37*50</f>
        <v/>
      </c>
    </row>
    <row r="38">
      <c r="E38">
        <f>IF(D38="","","https://m.me/PAGE?ref="&amp;D38)</f>
        <v/>
      </c>
      <c r="I38">
        <f>H38*50</f>
        <v/>
      </c>
    </row>
    <row r="39">
      <c r="E39">
        <f>IF(D39="","","https://m.me/PAGE?ref="&amp;D39)</f>
        <v/>
      </c>
      <c r="I39">
        <f>H39*50</f>
        <v/>
      </c>
    </row>
    <row r="40">
      <c r="E40">
        <f>IF(D40="","","https://m.me/PAGE?ref="&amp;D40)</f>
        <v/>
      </c>
      <c r="I40">
        <f>H40*50</f>
        <v/>
      </c>
    </row>
    <row r="41">
      <c r="E41">
        <f>IF(D41="","","https://m.me/PAGE?ref="&amp;D41)</f>
        <v/>
      </c>
      <c r="I41">
        <f>H41*50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7" t="inlineStr">
        <is>
          <t>รหัส</t>
        </is>
      </c>
      <c r="B1" s="7" t="inlineStr">
        <is>
          <t>มุม</t>
        </is>
      </c>
      <c r="C1" s="7" t="inlineStr">
        <is>
          <t>Hook</t>
        </is>
      </c>
      <c r="D1" s="7" t="inlineStr">
        <is>
          <t>วันเริ่ม</t>
        </is>
      </c>
      <c r="E1" s="7" t="inlineStr">
        <is>
          <t>ค่าแอดสะสม</t>
        </is>
      </c>
      <c r="F1" s="7" t="inlineStr">
        <is>
          <t>แชท</t>
        </is>
      </c>
      <c r="G1" s="7" t="inlineStr">
        <is>
          <t>ซื้อ</t>
        </is>
      </c>
      <c r="H1" s="7" t="inlineStr">
        <is>
          <t>CPA</t>
        </is>
      </c>
      <c r="I1" s="7" t="inlineStr">
        <is>
          <t>Cost/แชท</t>
        </is>
      </c>
      <c r="J1" s="7" t="inlineStr">
        <is>
          <t>สถานะ</t>
        </is>
      </c>
    </row>
    <row r="2">
      <c r="A2" t="inlineStr">
        <is>
          <t>A1</t>
        </is>
      </c>
      <c r="B2" t="inlineStr">
        <is>
          <t>ภาษา</t>
        </is>
      </c>
      <c r="C2" t="inlineStr">
        <is>
          <t>หยุดทักฝรั่งว่า Hi</t>
        </is>
      </c>
      <c r="H2">
        <f>IF(G2=0,"",E2/G2)</f>
        <v/>
      </c>
      <c r="I2">
        <f>IF(F2=0,"",E2/F2)</f>
        <v/>
      </c>
    </row>
    <row r="3">
      <c r="A3" t="inlineStr">
        <is>
          <t>A2</t>
        </is>
      </c>
      <c r="B3" t="inlineStr">
        <is>
          <t>ภาษา</t>
        </is>
      </c>
      <c r="C3" t="inlineStr">
        <is>
          <t>ภาษาไม่เก่งก็คุยได้</t>
        </is>
      </c>
      <c r="H3">
        <f>IF(G3=0,"",E3/G3)</f>
        <v/>
      </c>
      <c r="I3">
        <f>IF(F3=0,"",E3/F3)</f>
        <v/>
      </c>
    </row>
    <row r="4">
      <c r="A4" t="inlineStr">
        <is>
          <t>A3</t>
        </is>
      </c>
      <c r="B4" t="inlineStr">
        <is>
          <t>ภาษา</t>
        </is>
      </c>
      <c r="C4" t="inlineStr">
        <is>
          <t>แมตช์แล้วแชทเงียบ</t>
        </is>
      </c>
      <c r="H4">
        <f>IF(G4=0,"",E4/G4)</f>
        <v/>
      </c>
      <c r="I4">
        <f>IF(F4=0,"",E4/F4)</f>
        <v/>
      </c>
    </row>
    <row r="5">
      <c r="A5" t="inlineStr">
        <is>
          <t>B1</t>
        </is>
      </c>
      <c r="B5" t="inlineStr">
        <is>
          <t>กันโกง</t>
        </is>
      </c>
      <c r="C5" t="inlineStr">
        <is>
          <t>ประโยคมิจฉาชีพ 99%</t>
        </is>
      </c>
      <c r="H5">
        <f>IF(G5=0,"",E5/G5)</f>
        <v/>
      </c>
      <c r="I5">
        <f>IF(F5=0,"",E5/F5)</f>
        <v/>
      </c>
    </row>
    <row r="6">
      <c r="A6" t="inlineStr">
        <is>
          <t>B2</t>
        </is>
      </c>
      <c r="B6" t="inlineStr">
        <is>
          <t>กันโกง</t>
        </is>
      </c>
      <c r="C6" t="inlineStr">
        <is>
          <t>3 คำถามคัดคน</t>
        </is>
      </c>
      <c r="H6">
        <f>IF(G6=0,"",E6/G6)</f>
        <v/>
      </c>
      <c r="I6">
        <f>IF(F6=0,"",E6/F6)</f>
        <v/>
      </c>
    </row>
    <row r="7">
      <c r="A7" t="inlineStr">
        <is>
          <t>B3</t>
        </is>
      </c>
      <c r="B7" t="inlineStr">
        <is>
          <t>กันโกง</t>
        </is>
      </c>
      <c r="C7" t="inlineStr">
        <is>
          <t>กลัวโดนหลอก</t>
        </is>
      </c>
      <c r="H7">
        <f>IF(G7=0,"",E7/G7)</f>
        <v/>
      </c>
      <c r="I7">
        <f>IF(F7=0,"",E7/F7)</f>
        <v/>
      </c>
    </row>
    <row r="8">
      <c r="A8" t="inlineStr">
        <is>
          <t>R1</t>
        </is>
      </c>
      <c r="B8" t="inlineStr">
        <is>
          <t>retarget</t>
        </is>
      </c>
      <c r="C8" t="inlineStr">
        <is>
          <t>99฿ เฉพาะคนที่เคยทัก</t>
        </is>
      </c>
      <c r="H8">
        <f>IF(G8=0,"",E8/G8)</f>
        <v/>
      </c>
      <c r="I8">
        <f>IF(F8=0,"",E8/F8)</f>
        <v/>
      </c>
    </row>
    <row r="9">
      <c r="H9">
        <f>IF(G9=0,"",E9/G9)</f>
        <v/>
      </c>
      <c r="I9">
        <f>IF(F9=0,"",E9/F9)</f>
        <v/>
      </c>
    </row>
    <row r="10">
      <c r="H10">
        <f>IF(G10=0,"",E10/G10)</f>
        <v/>
      </c>
      <c r="I10">
        <f>IF(F10=0,"",E10/F10)</f>
        <v/>
      </c>
    </row>
    <row r="11">
      <c r="H11">
        <f>IF(G11=0,"",E11/G11)</f>
        <v/>
      </c>
      <c r="I11">
        <f>IF(F11=0,"",E11/F11)</f>
        <v/>
      </c>
    </row>
    <row r="12">
      <c r="H12">
        <f>IF(G12=0,"",E12/G12)</f>
        <v/>
      </c>
      <c r="I12">
        <f>IF(F12=0,"",E12/F12)</f>
        <v/>
      </c>
    </row>
    <row r="13">
      <c r="H13">
        <f>IF(G13=0,"",E13/G13)</f>
        <v/>
      </c>
      <c r="I13">
        <f>IF(F13=0,"",E13/F13)</f>
        <v/>
      </c>
    </row>
    <row r="14">
      <c r="H14">
        <f>IF(G14=0,"",E14/G14)</f>
        <v/>
      </c>
      <c r="I14">
        <f>IF(F14=0,"",E14/F14)</f>
        <v/>
      </c>
    </row>
    <row r="15">
      <c r="H15">
        <f>IF(G15=0,"",E15/G15)</f>
        <v/>
      </c>
      <c r="I15">
        <f>IF(F15=0,"",E15/F15)</f>
        <v/>
      </c>
    </row>
    <row r="16">
      <c r="H16">
        <f>IF(G16=0,"",E16/G16)</f>
        <v/>
      </c>
      <c r="I16">
        <f>IF(F16=0,"",E16/F16)</f>
        <v/>
      </c>
    </row>
    <row r="17">
      <c r="H17">
        <f>IF(G17=0,"",E17/G17)</f>
        <v/>
      </c>
      <c r="I17">
        <f>IF(F17=0,"",E17/F17)</f>
        <v/>
      </c>
    </row>
    <row r="18">
      <c r="H18">
        <f>IF(G18=0,"",E18/G18)</f>
        <v/>
      </c>
      <c r="I18">
        <f>IF(F18=0,"",E18/F18)</f>
        <v/>
      </c>
    </row>
    <row r="19">
      <c r="H19">
        <f>IF(G19=0,"",E19/G19)</f>
        <v/>
      </c>
      <c r="I19">
        <f>IF(F19=0,"",E19/F19)</f>
        <v/>
      </c>
    </row>
    <row r="20">
      <c r="H20">
        <f>IF(G20=0,"",E20/G20)</f>
        <v/>
      </c>
      <c r="I20">
        <f>IF(F20=0,"",E20/F20)</f>
        <v/>
      </c>
    </row>
    <row r="21">
      <c r="H21">
        <f>IF(G21=0,"",E21/G21)</f>
        <v/>
      </c>
      <c r="I21">
        <f>IF(F21=0,"",E21/F21)</f>
        <v/>
      </c>
    </row>
    <row r="22">
      <c r="H22">
        <f>IF(G22=0,"",E22/G22)</f>
        <v/>
      </c>
      <c r="I22">
        <f>IF(F22=0,"",E22/F22)</f>
        <v/>
      </c>
    </row>
    <row r="23">
      <c r="H23">
        <f>IF(G23=0,"",E23/G23)</f>
        <v/>
      </c>
      <c r="I23">
        <f>IF(F23=0,"",E23/F23)</f>
        <v/>
      </c>
    </row>
    <row r="24">
      <c r="H24">
        <f>IF(G24=0,"",E24/G24)</f>
        <v/>
      </c>
      <c r="I24">
        <f>IF(F24=0,"",E24/F24)</f>
        <v/>
      </c>
    </row>
    <row r="25">
      <c r="H25">
        <f>IF(G25=0,"",E25/G25)</f>
        <v/>
      </c>
      <c r="I25">
        <f>IF(F25=0,"",E25/F25)</f>
        <v/>
      </c>
    </row>
    <row r="26">
      <c r="H26">
        <f>IF(G26=0,"",E26/G26)</f>
        <v/>
      </c>
      <c r="I26">
        <f>IF(F26=0,"",E26/F26)</f>
        <v/>
      </c>
    </row>
    <row r="27">
      <c r="H27">
        <f>IF(G27=0,"",E27/G27)</f>
        <v/>
      </c>
      <c r="I27">
        <f>IF(F27=0,"",E27/F27)</f>
        <v/>
      </c>
    </row>
    <row r="28">
      <c r="H28">
        <f>IF(G28=0,"",E28/G28)</f>
        <v/>
      </c>
      <c r="I28">
        <f>IF(F28=0,"",E28/F28)</f>
        <v/>
      </c>
    </row>
    <row r="29">
      <c r="H29">
        <f>IF(G29=0,"",E29/G29)</f>
        <v/>
      </c>
      <c r="I29">
        <f>IF(F29=0,"",E29/F29)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2026-10-18T17:29:20Z</dcterms:created>
  <dcterms:modified xmlns:dcterms="http://purl.org/dc/terms/" xmlns:xsi="http://www.w3.org/2001/XMLSchema-instance" xsi:type="dcterms:W3CDTF">2026-10-18T17:29:20Z</dcterms:modified>
</cp:coreProperties>
</file>